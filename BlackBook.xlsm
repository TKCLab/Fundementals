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thomsoncorvin/Desktop/"/>
    </mc:Choice>
  </mc:AlternateContent>
  <xr:revisionPtr revIDLastSave="0" documentId="8_{EDCCA9F5-0FFC-7540-9AF8-436CB776453B}" xr6:coauthVersionLast="47" xr6:coauthVersionMax="47" xr10:uidLastSave="{00000000-0000-0000-0000-000000000000}"/>
  <bookViews>
    <workbookView xWindow="0" yWindow="620" windowWidth="28800" windowHeight="17380" activeTab="1" xr2:uid="{5977E6B8-2EFA-CD43-9A21-CDC62A79CF91}"/>
  </bookViews>
  <sheets>
    <sheet name="Tracker" sheetId="12" r:id="rId1"/>
    <sheet name="HBook" sheetId="4" r:id="rId2"/>
    <sheet name="QBook" sheetId="7" r:id="rId3"/>
    <sheet name="Statistics" sheetId="6" r:id="rId4"/>
    <sheet name="HData" sheetId="2" r:id="rId5"/>
    <sheet name="QData" sheetId="8" r:id="rId6"/>
    <sheet name="12QData" sheetId="5" r:id="rId7"/>
  </sheets>
  <definedNames>
    <definedName name="_xleta.ABS" hidden="1" xlm="1">#NAME?</definedName>
    <definedName name="_xleta.AND" hidden="1" xlm="1">#NAME?</definedName>
    <definedName name="_xleta.DISC" hidden="1" xlm="1">#NAME?</definedName>
    <definedName name="_xleta.FIXED" hidden="1" xlm="1">#NAME?</definedName>
    <definedName name="_xleta.RANK.AVG" hidden="1" xlm="1">#NAME?</definedName>
    <definedName name="_xleta.RATE" hidden="1" xlm="1">#NAME?</definedName>
    <definedName name="_xleta.STOCKHISTORY" hidden="1" xlm="1">#NAME?</definedName>
    <definedName name="_xleta.SUM" hidden="1" xlm="1">#NAME?</definedName>
    <definedName name="_xleta.T" hidden="1" xlm="1">#NAME?</definedName>
    <definedName name="BalanceSheet" localSheetId="5">QData!$CK$56:$DF$218</definedName>
    <definedName name="CashFlow" localSheetId="5">QData!$BO$116:$CJ$267</definedName>
    <definedName name="ExternalData_1" localSheetId="6">'12QData'!$A$5:$V$46</definedName>
    <definedName name="ExternalData_1" localSheetId="4">HData!$A$5:$Q$192</definedName>
    <definedName name="ExternalData_1" localSheetId="5">QData!$A$5:$V$56</definedName>
    <definedName name="ExternalData_1" localSheetId="3">Statistics!$A$5:$B$120</definedName>
    <definedName name="ExternalData_10" localSheetId="6">'12QData'!$A$5:$V$54</definedName>
    <definedName name="ExternalData_10" localSheetId="4">HData!$A$5:$F$192</definedName>
    <definedName name="ExternalData_10" localSheetId="3">Statistics!$A$5:$B$120</definedName>
    <definedName name="ExternalData_100" localSheetId="6">'12QData'!$A$116:$V$163</definedName>
    <definedName name="ExternalData_100" localSheetId="4">HData!$S$5:$AI$169</definedName>
    <definedName name="ExternalData_101" localSheetId="6">'12QData'!$A$167:$W$201</definedName>
    <definedName name="ExternalData_101" localSheetId="4">HData!$S$5:$AI$169</definedName>
    <definedName name="ExternalData_102" localSheetId="6">'12QData'!$A$56:$V$111</definedName>
    <definedName name="ExternalData_102" localSheetId="4">HData!$S$5:$AI$169</definedName>
    <definedName name="ExternalData_103" localSheetId="6">'12QData'!$A$116:$V$163</definedName>
    <definedName name="ExternalData_103" localSheetId="4">HData!$S$5:$AI$169</definedName>
    <definedName name="ExternalData_104" localSheetId="6">'12QData'!$A$167:$W$201</definedName>
    <definedName name="ExternalData_104" localSheetId="4">HData!$S$5:$AI$169</definedName>
    <definedName name="ExternalData_105" localSheetId="6">'12QData'!$A$56:$V$111</definedName>
    <definedName name="ExternalData_105" localSheetId="4">HData!$S$5:$AI$169</definedName>
    <definedName name="ExternalData_106" localSheetId="6">'12QData'!$A$116:$V$163</definedName>
    <definedName name="ExternalData_106" localSheetId="4">HData!$S$5:$AI$169</definedName>
    <definedName name="ExternalData_107" localSheetId="6">'12QData'!$A$167:$W$201</definedName>
    <definedName name="ExternalData_107" localSheetId="4">HData!$S$5:$AI$169</definedName>
    <definedName name="ExternalData_108" localSheetId="6">'12QData'!$A$56:$V$108</definedName>
    <definedName name="ExternalData_108" localSheetId="4">HData!$A$105:$AC$138</definedName>
    <definedName name="ExternalData_109" localSheetId="6">'12QData'!$A$116:$V$160</definedName>
    <definedName name="ExternalData_109" localSheetId="4">HData!$A$155:$AD$217</definedName>
    <definedName name="ExternalData_11" localSheetId="6">'12QData'!$A$5:$V$54</definedName>
    <definedName name="ExternalData_11" localSheetId="4">HData!$A$5:$Q$192</definedName>
    <definedName name="ExternalData_11" localSheetId="3">Statistics!$A$5:$B$120</definedName>
    <definedName name="ExternalData_110" localSheetId="6">'12QData'!$A$167:$W$200</definedName>
    <definedName name="ExternalData_111" localSheetId="6">'12QData'!$A$56:$V$111</definedName>
    <definedName name="ExternalData_112" localSheetId="6">'12QData'!$A$116:$V$163</definedName>
    <definedName name="ExternalData_113" localSheetId="6">'12QData'!$A$167:$W$201</definedName>
    <definedName name="ExternalData_114" localSheetId="6">'12QData'!$A$56:$V$108</definedName>
    <definedName name="ExternalData_115" localSheetId="6">'12QData'!$A$116:$V$160</definedName>
    <definedName name="ExternalData_116" localSheetId="6">'12QData'!$A$167:$W$200</definedName>
    <definedName name="ExternalData_117" localSheetId="6">'12QData'!$A$56:$V$103</definedName>
    <definedName name="ExternalData_118" localSheetId="6">'12QData'!$A$116:$V$155</definedName>
    <definedName name="ExternalData_119" localSheetId="6">'12QData'!$A$167:$W$201</definedName>
    <definedName name="ExternalData_12" localSheetId="6">'12QData'!$A$5:$L$44</definedName>
    <definedName name="ExternalData_12" localSheetId="4">HData!$A$5:$F$192</definedName>
    <definedName name="ExternalData_12" localSheetId="3">Statistics!$A$5:$B$120</definedName>
    <definedName name="ExternalData_120" localSheetId="6">'12QData'!$A$56:$V$108</definedName>
    <definedName name="ExternalData_121" localSheetId="6">'12QData'!$A$116:$V$160</definedName>
    <definedName name="ExternalData_122" localSheetId="6">'12QData'!$A$167:$W$200</definedName>
    <definedName name="ExternalData_123" localSheetId="6">'12QData'!$A$56:$V$103</definedName>
    <definedName name="ExternalData_123" localSheetId="4">HData!$A$5:$Q$192</definedName>
    <definedName name="ExternalData_124" localSheetId="6">'12QData'!$A$116:$V$155</definedName>
    <definedName name="ExternalData_124" localSheetId="4">HData!$S$5:$AI$169</definedName>
    <definedName name="ExternalData_125" localSheetId="6">'12QData'!$A$167:$W$201</definedName>
    <definedName name="ExternalData_125" localSheetId="4">HData!$A$5:$G$192</definedName>
    <definedName name="ExternalData_126" localSheetId="6">'12QData'!$A$56:$V$111</definedName>
    <definedName name="ExternalData_126" localSheetId="4">HData!$S$5:$Y$169</definedName>
    <definedName name="ExternalData_127" localSheetId="6">'12QData'!$A$116:$V$163</definedName>
    <definedName name="ExternalData_127" localSheetId="4">HData!$A$5</definedName>
    <definedName name="ExternalData_128" localSheetId="6">'12QData'!$A$167:$W$201</definedName>
    <definedName name="ExternalData_128" localSheetId="4">HData!$S$5</definedName>
    <definedName name="ExternalData_129" localSheetId="6">'12QData'!$A$56:$V$110</definedName>
    <definedName name="ExternalData_129" localSheetId="4">HData!$A$5:$Q$192</definedName>
    <definedName name="ExternalData_13" localSheetId="6">'12QData'!$A$5:$V$54</definedName>
    <definedName name="ExternalData_13" localSheetId="4">HData!$A$5:$Q$192</definedName>
    <definedName name="ExternalData_13" localSheetId="3">Statistics!$A$5:$B$120</definedName>
    <definedName name="ExternalData_130" localSheetId="6">'12QData'!$A$116:$V$160</definedName>
    <definedName name="ExternalData_130" localSheetId="4">HData!$S$5:$AI$169</definedName>
    <definedName name="ExternalData_131" localSheetId="6">'12QData'!$A$167:$W$201</definedName>
    <definedName name="ExternalData_131" localSheetId="4">HData!$A$5:$P$192</definedName>
    <definedName name="ExternalData_132" localSheetId="6">'12QData'!$A$56:$V$103</definedName>
    <definedName name="ExternalData_132" localSheetId="4">HData!$S$5:$AH$169</definedName>
    <definedName name="ExternalData_133" localSheetId="6">'12QData'!$A$116:$V$155</definedName>
    <definedName name="ExternalData_133" localSheetId="4">HData!$A$5:$Q$192</definedName>
    <definedName name="ExternalData_134" localSheetId="6">'12QData'!$A$167:$W$201</definedName>
    <definedName name="ExternalData_134" localSheetId="4">HData!$S$5:$AI$169</definedName>
    <definedName name="ExternalData_135" localSheetId="6">'12QData'!$A$56:$V$109</definedName>
    <definedName name="ExternalData_135" localSheetId="4">HData!$A$5:$Q$192</definedName>
    <definedName name="ExternalData_136" localSheetId="6">'12QData'!$A$116:$V$157</definedName>
    <definedName name="ExternalData_136" localSheetId="4">HData!$S$5:$AI$169</definedName>
    <definedName name="ExternalData_137" localSheetId="6">'12QData'!$A$167:$W$201</definedName>
    <definedName name="ExternalData_137" localSheetId="4">HData!$A$5:$Q$192</definedName>
    <definedName name="ExternalData_138" localSheetId="6">'12QData'!$A$56:$V$108</definedName>
    <definedName name="ExternalData_138" localSheetId="4">HData!$S$5:$AI$169</definedName>
    <definedName name="ExternalData_139" localSheetId="6">'12QData'!$A$116:$V$160</definedName>
    <definedName name="ExternalData_139" localSheetId="4">HData!$A$5:$Q$192</definedName>
    <definedName name="ExternalData_14" localSheetId="6">'12QData'!$A$5:$L$44</definedName>
    <definedName name="ExternalData_14" localSheetId="4">HData!$A$5:$E$192</definedName>
    <definedName name="ExternalData_14" localSheetId="3">Statistics!$A$5:$B$120</definedName>
    <definedName name="ExternalData_140" localSheetId="6">'12QData'!$A$167:$W$200</definedName>
    <definedName name="ExternalData_140" localSheetId="4">HData!$S$5:$AI$169</definedName>
    <definedName name="ExternalData_141" localSheetId="6">'12QData'!$A$56:$V$103</definedName>
    <definedName name="ExternalData_141" localSheetId="4">HData!$A$5:$Q$192</definedName>
    <definedName name="ExternalData_142" localSheetId="6">'12QData'!$A$116:$V$155</definedName>
    <definedName name="ExternalData_142" localSheetId="4">HData!$S$5:$AI$169</definedName>
    <definedName name="ExternalData_143" localSheetId="6">'12QData'!$A$167:$W$201</definedName>
    <definedName name="ExternalData_143" localSheetId="4">HData!$A$5:$Q$192</definedName>
    <definedName name="ExternalData_144" localSheetId="6">'12QData'!$A$56:$V$108</definedName>
    <definedName name="ExternalData_145" localSheetId="6">'12QData'!$A$116:$V$160</definedName>
    <definedName name="ExternalData_146" localSheetId="6">'12QData'!$A$167:$W$200</definedName>
    <definedName name="ExternalData_147" localSheetId="6">'12QData'!$A$56:$V$109</definedName>
    <definedName name="ExternalData_148" localSheetId="6">'12QData'!$A$116:$V$153</definedName>
    <definedName name="ExternalData_149" localSheetId="6">'12QData'!$A$167:$W$201</definedName>
    <definedName name="ExternalData_15" localSheetId="6">'12QData'!$A$5:$V$54</definedName>
    <definedName name="ExternalData_15" localSheetId="4">HData!$A$5:$Q$192</definedName>
    <definedName name="ExternalData_15" localSheetId="3">Statistics!$A$5:$B$120</definedName>
    <definedName name="ExternalData_150" localSheetId="6">'12QData'!$A$56:$L$105</definedName>
    <definedName name="ExternalData_151" localSheetId="6">'12QData'!$A$116:$L$160</definedName>
    <definedName name="ExternalData_152" localSheetId="6">'12QData'!$A$167:$M$198</definedName>
    <definedName name="ExternalData_153" localSheetId="6">'12QData'!$A$56:$V$108</definedName>
    <definedName name="ExternalData_154" localSheetId="6">'12QData'!$A$116:$V$160</definedName>
    <definedName name="ExternalData_155" localSheetId="6">'12QData'!$A$167:$W$200</definedName>
    <definedName name="ExternalData_156" localSheetId="6">'12QData'!$A$56:$V$111</definedName>
    <definedName name="ExternalData_157" localSheetId="6">'12QData'!$A$116:$V$163</definedName>
    <definedName name="ExternalData_158" localSheetId="6">'12QData'!$A$167:$W$201</definedName>
    <definedName name="ExternalData_159" localSheetId="6">'12QData'!$A$56:$V$109</definedName>
    <definedName name="ExternalData_16" localSheetId="6">'12QData'!$A$5:$L$44</definedName>
    <definedName name="ExternalData_16" localSheetId="4">HData!$A$5:$Q$192</definedName>
    <definedName name="ExternalData_16" localSheetId="3">Statistics!$A$5:$B$120</definedName>
    <definedName name="ExternalData_160" localSheetId="6">'12QData'!$A$116:$V$157</definedName>
    <definedName name="ExternalData_161" localSheetId="6">'12QData'!$A$167:$W$201</definedName>
    <definedName name="ExternalData_162" localSheetId="6">'12QData'!$A$56:$V$111</definedName>
    <definedName name="ExternalData_163" localSheetId="6">'12QData'!$A$116:$V$163</definedName>
    <definedName name="ExternalData_164" localSheetId="6">'12QData'!$A$167:$W$201</definedName>
    <definedName name="ExternalData_165" localSheetId="6">'12QData'!$A$56:$V$108</definedName>
    <definedName name="ExternalData_166" localSheetId="6">'12QData'!$A$116:$V$160</definedName>
    <definedName name="ExternalData_167" localSheetId="6">'12QData'!$A$167:$W$200</definedName>
    <definedName name="ExternalData_168" localSheetId="6">'12QData'!$A$56:$V$111</definedName>
    <definedName name="ExternalData_169" localSheetId="6">'12QData'!$A$116:$V$163</definedName>
    <definedName name="ExternalData_17" localSheetId="6">'12QData'!$A$5:$F$39</definedName>
    <definedName name="ExternalData_17" localSheetId="4">HData!$A$5:$Q$192</definedName>
    <definedName name="ExternalData_17" localSheetId="3">Statistics!$A$5:$B$120</definedName>
    <definedName name="ExternalData_170" localSheetId="6">'12QData'!$A$167:$W$201</definedName>
    <definedName name="ExternalData_171" localSheetId="6">'12QData'!$A$56:$V$111</definedName>
    <definedName name="ExternalData_172" localSheetId="6">'12QData'!$A$116:$V$163</definedName>
    <definedName name="ExternalData_173" localSheetId="6">'12QData'!$A$167:$W$201</definedName>
    <definedName name="ExternalData_174" localSheetId="6">'12QData'!$A$56:$V$108</definedName>
    <definedName name="ExternalData_175" localSheetId="6">'12QData'!$A$116:$V$160</definedName>
    <definedName name="ExternalData_176" localSheetId="6">'12QData'!$A$167:$W$200</definedName>
    <definedName name="ExternalData_177" localSheetId="6">'12QData'!$A$56:$V$103</definedName>
    <definedName name="ExternalData_177" localSheetId="4">HData!$A$5:$F$192</definedName>
    <definedName name="ExternalData_178" localSheetId="6">'12QData'!$A$116:$V$155</definedName>
    <definedName name="ExternalData_178" localSheetId="4">HData!$S$5:$X$169</definedName>
    <definedName name="ExternalData_179" localSheetId="6">'12QData'!$A$167:$W$201</definedName>
    <definedName name="ExternalData_179" localSheetId="4">HData!$A$5:$F$192</definedName>
    <definedName name="ExternalData_18" localSheetId="6">'12QData'!$A$5:$F$39</definedName>
    <definedName name="ExternalData_18" localSheetId="4">HData!$A$5:$Q$192</definedName>
    <definedName name="ExternalData_18" localSheetId="3">Statistics!$A$5:$B$120</definedName>
    <definedName name="ExternalData_180" localSheetId="6">'12QData'!$A$56:$V$111</definedName>
    <definedName name="ExternalData_180" localSheetId="4">HData!$S$5:$X$169</definedName>
    <definedName name="ExternalData_181" localSheetId="6">'12QData'!$A$116:$V$163</definedName>
    <definedName name="ExternalData_181" localSheetId="4">HData!$A$5:$Q$192</definedName>
    <definedName name="ExternalData_182" localSheetId="6">'12QData'!$A$167:$W$201</definedName>
    <definedName name="ExternalData_182" localSheetId="4">HData!$S$5:$AI$169</definedName>
    <definedName name="ExternalData_183" localSheetId="6">'12QData'!$A$116:$V$153</definedName>
    <definedName name="ExternalData_183" localSheetId="4">HData!$A$5:$Q$192</definedName>
    <definedName name="ExternalData_184" localSheetId="6">'12QData'!$A$167:$W$201</definedName>
    <definedName name="ExternalData_184" localSheetId="4">HData!$S$5:$AI$169</definedName>
    <definedName name="ExternalData_19" localSheetId="6">'12QData'!$A$5:$V$54</definedName>
    <definedName name="ExternalData_19" localSheetId="4">HData!$A$5:$Q$192</definedName>
    <definedName name="ExternalData_19" localSheetId="3">Statistics!$A$5:$B$120</definedName>
    <definedName name="ExternalData_2" localSheetId="6">'12QData'!$A$5:$V$47</definedName>
    <definedName name="ExternalData_2" localSheetId="4">HData!$S$5:$AI$169</definedName>
    <definedName name="ExternalData_2" localSheetId="5">QData!$A$56:$V$108</definedName>
    <definedName name="ExternalData_2" localSheetId="3">Statistics!$A$5:$B$120</definedName>
    <definedName name="ExternalData_20" localSheetId="6">'12QData'!$A$5:$V$54</definedName>
    <definedName name="ExternalData_20" localSheetId="4">HData!$A$5:$Q$192</definedName>
    <definedName name="ExternalData_20" localSheetId="3">Statistics!$A$5:$B$120</definedName>
    <definedName name="ExternalData_21" localSheetId="6">'12QData'!$A$5:$V$51</definedName>
    <definedName name="ExternalData_21" localSheetId="4">HData!$A$5:$Q$192</definedName>
    <definedName name="ExternalData_21" localSheetId="3">Statistics!$A$5:$B$120</definedName>
    <definedName name="ExternalData_22" localSheetId="6">'12QData'!$A$5:$V$54</definedName>
    <definedName name="ExternalData_22" localSheetId="4">HData!$A$5:$Q$192</definedName>
    <definedName name="ExternalData_22" localSheetId="3">Statistics!$A$5:$B$120</definedName>
    <definedName name="ExternalData_23" localSheetId="6">'12QData'!$A$5:$V$51</definedName>
    <definedName name="ExternalData_23" localSheetId="4">HData!$A$5:$Q$192</definedName>
    <definedName name="ExternalData_23" localSheetId="3">Statistics!$A$5:$B$120</definedName>
    <definedName name="ExternalData_24" localSheetId="6">'12QData'!$A$5:$V$46</definedName>
    <definedName name="ExternalData_24" localSheetId="4">HData!$A$5:$Q$192</definedName>
    <definedName name="ExternalData_24" localSheetId="3">Statistics!$A$5:$B$120</definedName>
    <definedName name="ExternalData_25" localSheetId="6">'12QData'!$A$5:$V$51</definedName>
    <definedName name="ExternalData_25" localSheetId="4">HData!$A$5:$Q$192</definedName>
    <definedName name="ExternalData_25" localSheetId="3">Statistics!$A$5:$B$120</definedName>
    <definedName name="ExternalData_26" localSheetId="6">'12QData'!$A$5:$V$46</definedName>
    <definedName name="ExternalData_26" localSheetId="4">HData!$S$5:$AI$169</definedName>
    <definedName name="ExternalData_26" localSheetId="3">Statistics!$A$5:$B$120</definedName>
    <definedName name="ExternalData_27" localSheetId="6">'12QData'!$A$5:$V$54</definedName>
    <definedName name="ExternalData_27" localSheetId="4">HData!$A$5:$Q$192</definedName>
    <definedName name="ExternalData_27" localSheetId="3">Statistics!$A$5:$B$120</definedName>
    <definedName name="ExternalData_28" localSheetId="6">'12QData'!$A$5:$V$46</definedName>
    <definedName name="ExternalData_28" localSheetId="4">HData!$S$5:$AI$169</definedName>
    <definedName name="ExternalData_28" localSheetId="3">Statistics!$A$5:$B$120</definedName>
    <definedName name="ExternalData_29" localSheetId="6">'12QData'!$A$5:$V$46</definedName>
    <definedName name="ExternalData_29" localSheetId="4">HData!$A$5:$Q$192</definedName>
    <definedName name="ExternalData_29" localSheetId="3">Statistics!$A$5:$B$120</definedName>
    <definedName name="ExternalData_3" localSheetId="6">'12QData'!$A$5:$V$54</definedName>
    <definedName name="ExternalData_3" localSheetId="4">HData!$A$5:$Q$192</definedName>
    <definedName name="ExternalData_3" localSheetId="5">QData!$A$116:$V$161</definedName>
    <definedName name="ExternalData_3" localSheetId="3">Statistics!$A$5:$B$120</definedName>
    <definedName name="ExternalData_30" localSheetId="6">'12QData'!$A$5:$V$49</definedName>
    <definedName name="ExternalData_30" localSheetId="4">HData!$S$5:$AI$169</definedName>
    <definedName name="ExternalData_30" localSheetId="3">Statistics!$A$5:$B$120</definedName>
    <definedName name="ExternalData_31" localSheetId="6">'12QData'!$A$5:$V$51</definedName>
    <definedName name="ExternalData_31" localSheetId="4">HData!$A$5:$Q$192</definedName>
    <definedName name="ExternalData_31" localSheetId="3">Statistics!$A$5:$B$120</definedName>
    <definedName name="ExternalData_32" localSheetId="6">'12QData'!$A$5:$V$46</definedName>
    <definedName name="ExternalData_32" localSheetId="4">HData!$S$5:$AI$169</definedName>
    <definedName name="ExternalData_32" localSheetId="3">Statistics!$A$5:$B$120</definedName>
    <definedName name="ExternalData_33" localSheetId="6">'12QData'!$A$5:$V$51</definedName>
    <definedName name="ExternalData_33" localSheetId="4">HData!$A$5:$Q$192</definedName>
    <definedName name="ExternalData_33" localSheetId="3">Statistics!$A$5:$B$120</definedName>
    <definedName name="ExternalData_34" localSheetId="6">'12QData'!$A$5:$V$46</definedName>
    <definedName name="ExternalData_34" localSheetId="4">HData!$A$5:$Q$192</definedName>
    <definedName name="ExternalData_34" localSheetId="3">Statistics!$A$5:$B$120</definedName>
    <definedName name="ExternalData_35" localSheetId="6">'12QData'!$A$5:$L$44</definedName>
    <definedName name="ExternalData_35" localSheetId="4">HData!$A$5:$Q$192</definedName>
    <definedName name="ExternalData_35" localSheetId="3">Statistics!$A$5:$B$120</definedName>
    <definedName name="ExternalData_36" localSheetId="6">'12QData'!$A$5:$V$51</definedName>
    <definedName name="ExternalData_36" localSheetId="4">HData!$A$5:$Q$192</definedName>
    <definedName name="ExternalData_36" localSheetId="3">Statistics!$A$5:$B$120</definedName>
    <definedName name="ExternalData_37" localSheetId="6">'12QData'!$A$5:$V$54</definedName>
    <definedName name="ExternalData_37" localSheetId="4">HData!$A$5:$Q$192</definedName>
    <definedName name="ExternalData_37" localSheetId="3">Statistics!$A$5:$B$120</definedName>
    <definedName name="ExternalData_38" localSheetId="6">'12QData'!$A$5:$V$49</definedName>
    <definedName name="ExternalData_38" localSheetId="4">HData!$A$5:$Q$192</definedName>
    <definedName name="ExternalData_38" localSheetId="3">Statistics!$A$5:$B$120</definedName>
    <definedName name="ExternalData_39" localSheetId="6">'12QData'!$A$5:$V$54</definedName>
    <definedName name="ExternalData_39" localSheetId="4">HData!$A$5:$Q$192</definedName>
    <definedName name="ExternalData_39" localSheetId="3">Statistics!$A$5:$B$120</definedName>
    <definedName name="ExternalData_4" localSheetId="6">'12QData'!$A$5:$V$46</definedName>
    <definedName name="ExternalData_4" localSheetId="4">HData!$S$5:$AI$169</definedName>
    <definedName name="ExternalData_4" localSheetId="5">QData!$A$167:$W$201</definedName>
    <definedName name="ExternalData_4" localSheetId="3">Statistics!$A$5:$B$120</definedName>
    <definedName name="ExternalData_40" localSheetId="6">'12QData'!$A$5:$V$51</definedName>
    <definedName name="ExternalData_40" localSheetId="4">HData!$A$5:$Q$192</definedName>
    <definedName name="ExternalData_40" localSheetId="3">Statistics!$A$5:$B$120</definedName>
    <definedName name="ExternalData_41" localSheetId="6">'12QData'!$A$5:$V$54</definedName>
    <definedName name="ExternalData_41" localSheetId="4">HData!$A$5:$Q$192</definedName>
    <definedName name="ExternalData_41" localSheetId="3">Statistics!$A$5:$B$120</definedName>
    <definedName name="ExternalData_42" localSheetId="6">'12QData'!$A$5:$V$54</definedName>
    <definedName name="ExternalData_42" localSheetId="4">HData!$A$5:$AC$29</definedName>
    <definedName name="ExternalData_42" localSheetId="3">Statistics!$A$5:$B$120</definedName>
    <definedName name="ExternalData_43" localSheetId="6">'12QData'!$A$5:$V$51</definedName>
    <definedName name="ExternalData_43" localSheetId="4">HData!$A$55:$AB$99</definedName>
    <definedName name="ExternalData_43" localSheetId="3">Statistics!$A$5:$B$120</definedName>
    <definedName name="ExternalData_44" localSheetId="6">'12QData'!$A$5:$V$46</definedName>
    <definedName name="ExternalData_44" localSheetId="4">HData!$S$5:$AI$169</definedName>
    <definedName name="ExternalData_44" localSheetId="3">Statistics!$A$5:$B$120</definedName>
    <definedName name="ExternalData_45" localSheetId="6">'12QData'!$A$5:$V$54</definedName>
    <definedName name="ExternalData_45" localSheetId="4">HData!$A$5:$Q$192</definedName>
    <definedName name="ExternalData_45" localSheetId="3">Statistics!$A$5:$B$120</definedName>
    <definedName name="ExternalData_46" localSheetId="6">'12QData'!$A$5:$V$46</definedName>
    <definedName name="ExternalData_46" localSheetId="4">HData!$S$5:$AI$169</definedName>
    <definedName name="ExternalData_46" localSheetId="3">Statistics!$A$5:$B$120</definedName>
    <definedName name="ExternalData_47" localSheetId="6">'12QData'!$A$56:$V$110</definedName>
    <definedName name="ExternalData_47" localSheetId="4">HData!$A$5:$Q$192</definedName>
    <definedName name="ExternalData_47" localSheetId="3">Statistics!$A$5:$B$120</definedName>
    <definedName name="ExternalData_48" localSheetId="6">'12QData'!$A$56:$V$102</definedName>
    <definedName name="ExternalData_48" localSheetId="4">HData!$S$5:$AI$169</definedName>
    <definedName name="ExternalData_48" localSheetId="3">Statistics!$A$5:$B$125</definedName>
    <definedName name="ExternalData_49" localSheetId="6">'12QData'!$A$116:$V$151</definedName>
    <definedName name="ExternalData_49" localSheetId="4">HData!$A$5:$Q$192</definedName>
    <definedName name="ExternalData_49" localSheetId="3">Statistics!$D$5:$N$61</definedName>
    <definedName name="ExternalData_5" localSheetId="6">'12QData'!$A$5:$V$46</definedName>
    <definedName name="ExternalData_5" localSheetId="4">HData!$A$5:$Q$192</definedName>
    <definedName name="ExternalData_5" localSheetId="3">Statistics!$A$5:$B$120</definedName>
    <definedName name="ExternalData_50" localSheetId="6">'12QData'!$A$167:$W$189</definedName>
    <definedName name="ExternalData_50" localSheetId="4">HData!$S$5:$AI$169</definedName>
    <definedName name="ExternalData_51" localSheetId="6">'12QData'!$A$56:$V$111</definedName>
    <definedName name="ExternalData_51" localSheetId="4">HData!$A$5:$Q$192</definedName>
    <definedName name="ExternalData_52" localSheetId="6">'12QData'!$A$116:$V$163</definedName>
    <definedName name="ExternalData_52" localSheetId="4">HData!$S$5:$AI$169</definedName>
    <definedName name="ExternalData_53" localSheetId="6">'12QData'!$A$167:$W$201</definedName>
    <definedName name="ExternalData_53" localSheetId="4">HData!$A$5:$Q$192</definedName>
    <definedName name="ExternalData_54" localSheetId="6">'12QData'!$A$56:$V$110</definedName>
    <definedName name="ExternalData_54" localSheetId="4">HData!$S$5:$AI$169</definedName>
    <definedName name="ExternalData_55" localSheetId="6">'12QData'!$A$116:$V$160</definedName>
    <definedName name="ExternalData_55" localSheetId="4">HData!$A$5:$Q$192</definedName>
    <definedName name="ExternalData_56" localSheetId="6">'12QData'!$A$167:$W$201</definedName>
    <definedName name="ExternalData_56" localSheetId="4">HData!$S$5:$AI$169</definedName>
    <definedName name="ExternalData_57" localSheetId="6">'12QData'!$A$56:$V$109</definedName>
    <definedName name="ExternalData_57" localSheetId="4">HData!$A$5:$Q$192</definedName>
    <definedName name="ExternalData_58" localSheetId="6">'12QData'!$A$116:$V$153</definedName>
    <definedName name="ExternalData_58" localSheetId="4">HData!$S$5:$AI$169</definedName>
    <definedName name="ExternalData_59" localSheetId="6">'12QData'!$A$167:$W$201</definedName>
    <definedName name="ExternalData_59" localSheetId="4">HData!$A$5:$Q$192</definedName>
    <definedName name="ExternalData_6" localSheetId="6">'12QData'!$A$5:$V$54</definedName>
    <definedName name="ExternalData_6" localSheetId="4">HData!$S$5:$AI$169</definedName>
    <definedName name="ExternalData_6" localSheetId="3">Statistics!$A$5:$B$120</definedName>
    <definedName name="ExternalData_60" localSheetId="6">'12QData'!$A$56:$V$111</definedName>
    <definedName name="ExternalData_60" localSheetId="4">HData!$S$5:$AI$169</definedName>
    <definedName name="ExternalData_61" localSheetId="6">'12QData'!$A$116:$V$163</definedName>
    <definedName name="ExternalData_61" localSheetId="4">HData!$A$5:$Q$192</definedName>
    <definedName name="ExternalData_62" localSheetId="6">'12QData'!$A$167:$W$201</definedName>
    <definedName name="ExternalData_62" localSheetId="4">HData!$S$5:$AI$169</definedName>
    <definedName name="ExternalData_63" localSheetId="6">'12QData'!$A$56:$L$105</definedName>
    <definedName name="ExternalData_63" localSheetId="4">HData!$A$5:$Q$192</definedName>
    <definedName name="ExternalData_64" localSheetId="6">'12QData'!$A$116:$L$160</definedName>
    <definedName name="ExternalData_64" localSheetId="4">HData!$S$5:$AI$169</definedName>
    <definedName name="ExternalData_65" localSheetId="6">'12QData'!$A$167:$M$198</definedName>
    <definedName name="ExternalData_65" localSheetId="4">HData!$A$5:$Q$192</definedName>
    <definedName name="ExternalData_66" localSheetId="6">'12QData'!$A$56:$L$105</definedName>
    <definedName name="ExternalData_66" localSheetId="4">HData!$S$5:$X$169</definedName>
    <definedName name="ExternalData_67" localSheetId="6">'12QData'!$A$116:$L$160</definedName>
    <definedName name="ExternalData_67" localSheetId="4">HData!$S$5:$AI$169</definedName>
    <definedName name="ExternalData_68" localSheetId="6">'12QData'!$A$167:$M$198</definedName>
    <definedName name="ExternalData_68" localSheetId="4">HData!$S$5:$X$169</definedName>
    <definedName name="ExternalData_69" localSheetId="6">'12QData'!$A$56:$L$105</definedName>
    <definedName name="ExternalData_69" localSheetId="4">HData!$S$5:$AI$169</definedName>
    <definedName name="ExternalData_7" localSheetId="6">'12QData'!$A$5:$L$44</definedName>
    <definedName name="ExternalData_7" localSheetId="4">HData!$A$5:$Q$192</definedName>
    <definedName name="ExternalData_7" localSheetId="3">Statistics!$A$5:$B$120</definedName>
    <definedName name="ExternalData_70" localSheetId="6">'12QData'!$A$116:$L$160</definedName>
    <definedName name="ExternalData_70" localSheetId="4">HData!$S$5:$X$169</definedName>
    <definedName name="ExternalData_71" localSheetId="6">'12QData'!$A$167:$M$198</definedName>
    <definedName name="ExternalData_71" localSheetId="4">HData!$S$5:$W$169</definedName>
    <definedName name="ExternalData_72" localSheetId="6">'12QData'!$A$56:$V$111</definedName>
    <definedName name="ExternalData_72" localSheetId="4">HData!$S$5:$W$169</definedName>
    <definedName name="ExternalData_73" localSheetId="6">'12QData'!$A$116:$V$163</definedName>
    <definedName name="ExternalData_73" localSheetId="4">HData!$S$5:$AI$169</definedName>
    <definedName name="ExternalData_74" localSheetId="6">'12QData'!$A$167:$W$201</definedName>
    <definedName name="ExternalData_74" localSheetId="4">HData!$S$5:$AI$169</definedName>
    <definedName name="ExternalData_75" localSheetId="6">'12QData'!$A$56:$V$111</definedName>
    <definedName name="ExternalData_75" localSheetId="4">HData!$S$5:$AI$169</definedName>
    <definedName name="ExternalData_76" localSheetId="6">'12QData'!$A$116:$V$163</definedName>
    <definedName name="ExternalData_76" localSheetId="4">HData!$S$5:$AI$169</definedName>
    <definedName name="ExternalData_77" localSheetId="6">'12QData'!$A$167:$W$201</definedName>
    <definedName name="ExternalData_77" localSheetId="4">HData!$S$5:$AI$169</definedName>
    <definedName name="ExternalData_78" localSheetId="6">'12QData'!$A$56:$L$105</definedName>
    <definedName name="ExternalData_78" localSheetId="4">HData!$S$5:$AI$169</definedName>
    <definedName name="ExternalData_79" localSheetId="6">'12QData'!$A$116:$L$160</definedName>
    <definedName name="ExternalData_79" localSheetId="4">HData!$S$5:$AI$169</definedName>
    <definedName name="ExternalData_8" localSheetId="6">'12QData'!$A$5:$L$44</definedName>
    <definedName name="ExternalData_8" localSheetId="4">HData!$A$5:$F$192</definedName>
    <definedName name="ExternalData_8" localSheetId="3">Statistics!$A$5:$B$120</definedName>
    <definedName name="ExternalData_80" localSheetId="6">'12QData'!$A$167:$M$198</definedName>
    <definedName name="ExternalData_80" localSheetId="4">HData!$S$5:$AI$169</definedName>
    <definedName name="ExternalData_81" localSheetId="6">'12QData'!$A$56:$V$108</definedName>
    <definedName name="ExternalData_81" localSheetId="4">HData!$S$5:$AI$169</definedName>
    <definedName name="ExternalData_82" localSheetId="6">'12QData'!$A$116:$V$160</definedName>
    <definedName name="ExternalData_82" localSheetId="4">HData!$S$5:$AI$169</definedName>
    <definedName name="ExternalData_83" localSheetId="6">'12QData'!$A$167:$W$200</definedName>
    <definedName name="ExternalData_83" localSheetId="4">HData!$S$5:$AI$169</definedName>
    <definedName name="ExternalData_84" localSheetId="6">'12QData'!$A$56:$L$105</definedName>
    <definedName name="ExternalData_84" localSheetId="4">HData!$S$5:$AI$169</definedName>
    <definedName name="ExternalData_85" localSheetId="6">'12QData'!$A$116:$L$160</definedName>
    <definedName name="ExternalData_85" localSheetId="4">HData!$A$5:$Q$192</definedName>
    <definedName name="ExternalData_86" localSheetId="6">'12QData'!$A$167:$M$198</definedName>
    <definedName name="ExternalData_86" localSheetId="4">HData!$S$5:$AI$169</definedName>
    <definedName name="ExternalData_87" localSheetId="6">'12QData'!$A$56:$V$111</definedName>
    <definedName name="ExternalData_87" localSheetId="4">HData!$A$5:$Q$192</definedName>
    <definedName name="ExternalData_88" localSheetId="6">'12QData'!$A$116:$V$163</definedName>
    <definedName name="ExternalData_88" localSheetId="4">HData!$S$5:$AI$169</definedName>
    <definedName name="ExternalData_89" localSheetId="6">'12QData'!$A$167:$W$201</definedName>
    <definedName name="ExternalData_89" localSheetId="4">HData!$A$5:$Q$192</definedName>
    <definedName name="ExternalData_9" localSheetId="6">'12QData'!$A$5:$L$44</definedName>
    <definedName name="ExternalData_9" localSheetId="4">HData!$A$5:$Q$192</definedName>
    <definedName name="ExternalData_9" localSheetId="3">Statistics!$A$5:$B$120</definedName>
    <definedName name="ExternalData_90" localSheetId="6">'12QData'!$A$56:$L$105</definedName>
    <definedName name="ExternalData_90" localSheetId="4">HData!$S$5:$AI$169</definedName>
    <definedName name="ExternalData_91" localSheetId="6">'12QData'!$A$116:$L$160</definedName>
    <definedName name="ExternalData_91" localSheetId="4">HData!$A$5:$Q$192</definedName>
    <definedName name="ExternalData_92" localSheetId="6">'12QData'!$A$167:$M$198</definedName>
    <definedName name="ExternalData_92" localSheetId="4">HData!$S$5:$AI$169</definedName>
    <definedName name="ExternalData_93" localSheetId="6">'12QData'!$A$56:$F$103</definedName>
    <definedName name="ExternalData_93" localSheetId="4">HData!$A$5:$Q$192</definedName>
    <definedName name="ExternalData_94" localSheetId="6">'12QData'!$A$116:$F$146</definedName>
    <definedName name="ExternalData_94" localSheetId="4">HData!$S$5:$AI$169</definedName>
    <definedName name="ExternalData_95" localSheetId="6">'12QData'!$A$167:$G$181</definedName>
    <definedName name="ExternalData_95" localSheetId="4">HData!$A$5:$F$192</definedName>
    <definedName name="ExternalData_96" localSheetId="6">'12QData'!$A$56:$F$103</definedName>
    <definedName name="ExternalData_96" localSheetId="4">HData!$S$5:$X$169</definedName>
    <definedName name="ExternalData_97" localSheetId="6">'12QData'!$A$116:$F$146</definedName>
    <definedName name="ExternalData_97" localSheetId="4">HData!$A$5:$Q$192</definedName>
    <definedName name="ExternalData_98" localSheetId="6">'12QData'!$A$167:$G$181</definedName>
    <definedName name="ExternalData_98" localSheetId="4">HData!$S$5:$AI$169</definedName>
    <definedName name="ExternalData_99" localSheetId="6">'12QData'!$A$56:$V$111</definedName>
    <definedName name="ExternalData_99" localSheetId="4">HData!$S$5:$AI$169</definedName>
    <definedName name="Financials" localSheetId="5">QData!$DG$5:$EB$157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28" i="4" l="1"/>
  <c r="AG11" i="4"/>
  <c r="H8" i="4"/>
  <c r="AD27" i="4" a="1"/>
  <c r="AD27" i="4" s="1"/>
  <c r="AQ4" i="4"/>
  <c r="AQ6" i="4" s="1"/>
  <c r="H57" i="4"/>
  <c r="I57" i="4"/>
  <c r="J57" i="4"/>
  <c r="K57" i="4"/>
  <c r="L57" i="4"/>
  <c r="M57" i="4"/>
  <c r="N57" i="4"/>
  <c r="O57" i="4"/>
  <c r="P57" i="4"/>
  <c r="Q57" i="4"/>
  <c r="R57" i="4"/>
  <c r="S57" i="4"/>
  <c r="T57" i="4"/>
  <c r="U57" i="4"/>
  <c r="V57" i="4"/>
  <c r="B4" i="4"/>
  <c r="B5" i="4" s="1"/>
  <c r="H6" i="4"/>
  <c r="AC35" i="4" s="1"/>
  <c r="I13" i="4"/>
  <c r="J13" i="4"/>
  <c r="K13" i="4"/>
  <c r="L13" i="4"/>
  <c r="M13" i="4"/>
  <c r="N13" i="4"/>
  <c r="O13" i="4"/>
  <c r="P13" i="4"/>
  <c r="Q13" i="4"/>
  <c r="R13" i="4"/>
  <c r="S13" i="4"/>
  <c r="T13" i="4"/>
  <c r="U13" i="4"/>
  <c r="V13" i="4"/>
  <c r="H13" i="4"/>
  <c r="H19" i="4"/>
  <c r="F15" i="4"/>
  <c r="F12" i="4"/>
  <c r="F16" i="4"/>
  <c r="I15" i="4"/>
  <c r="J15" i="4"/>
  <c r="K15" i="4"/>
  <c r="L15" i="4"/>
  <c r="M15" i="4"/>
  <c r="N15" i="4"/>
  <c r="O15" i="4"/>
  <c r="P15" i="4"/>
  <c r="Q15" i="4"/>
  <c r="R15" i="4"/>
  <c r="S15" i="4"/>
  <c r="T15" i="4"/>
  <c r="U15" i="4"/>
  <c r="V15" i="4"/>
  <c r="H15" i="4"/>
  <c r="AD30" i="4" s="1"/>
  <c r="AD11" i="4" s="1"/>
  <c r="F28" i="4"/>
  <c r="I28" i="4"/>
  <c r="J28" i="4"/>
  <c r="K28" i="4"/>
  <c r="L28" i="4"/>
  <c r="M28" i="4"/>
  <c r="N28" i="4"/>
  <c r="O28" i="4"/>
  <c r="P28" i="4"/>
  <c r="Q28" i="4"/>
  <c r="R28" i="4"/>
  <c r="S28" i="4"/>
  <c r="T28" i="4"/>
  <c r="U28" i="4"/>
  <c r="V28" i="4"/>
  <c r="H28" i="4"/>
  <c r="I19" i="4"/>
  <c r="J19" i="4"/>
  <c r="K19" i="4"/>
  <c r="L19" i="4"/>
  <c r="M19" i="4"/>
  <c r="N19" i="4"/>
  <c r="O19" i="4"/>
  <c r="P19" i="4"/>
  <c r="Q19" i="4"/>
  <c r="R19" i="4"/>
  <c r="S19" i="4"/>
  <c r="T19" i="4"/>
  <c r="U19" i="4"/>
  <c r="V19" i="4"/>
  <c r="W19" i="4"/>
  <c r="F19" i="4"/>
  <c r="I21" i="4"/>
  <c r="J21" i="4"/>
  <c r="K21" i="4"/>
  <c r="L21" i="4"/>
  <c r="M21" i="4"/>
  <c r="N21" i="4"/>
  <c r="O21" i="4"/>
  <c r="P21" i="4"/>
  <c r="Q21" i="4"/>
  <c r="R21" i="4"/>
  <c r="S21" i="4"/>
  <c r="T21" i="4"/>
  <c r="U21" i="4"/>
  <c r="V21" i="4"/>
  <c r="H21" i="4"/>
  <c r="F21" i="4"/>
  <c r="F20" i="4"/>
  <c r="B15" i="12" a="1"/>
  <c r="B15" i="12" s="1"/>
  <c r="B14" i="12" a="1"/>
  <c r="B14" i="12" s="1"/>
  <c r="C15" i="12" a="1"/>
  <c r="C15" i="12" s="1"/>
  <c r="C14" i="12" a="1"/>
  <c r="C14" i="12" s="1"/>
  <c r="B63" i="12" a="1"/>
  <c r="B63" i="12" s="1"/>
  <c r="C63" i="12" a="1"/>
  <c r="C63" i="12" s="1"/>
  <c r="D63" i="12" a="1"/>
  <c r="D63" i="12" s="1"/>
  <c r="E63" i="12" a="1"/>
  <c r="E63" i="12" s="1"/>
  <c r="F63" i="12" a="1"/>
  <c r="F63" i="12" s="1"/>
  <c r="G63" i="12" a="1"/>
  <c r="G63" i="12" s="1"/>
  <c r="H63" i="12" a="1"/>
  <c r="H63" i="12" s="1"/>
  <c r="I63" i="12" a="1"/>
  <c r="I63" i="12" s="1"/>
  <c r="J63" i="12" a="1"/>
  <c r="J63" i="12" s="1"/>
  <c r="K63" i="12" a="1"/>
  <c r="K63" i="12" s="1"/>
  <c r="B29" i="12" a="1"/>
  <c r="B29" i="12" s="1"/>
  <c r="C29" i="12" a="1"/>
  <c r="C29" i="12" s="1"/>
  <c r="D29" i="12" a="1"/>
  <c r="D29" i="12" s="1"/>
  <c r="E29" i="12" a="1"/>
  <c r="E29" i="12" s="1"/>
  <c r="F29" i="12" a="1"/>
  <c r="F29" i="12" s="1"/>
  <c r="G29" i="12" a="1"/>
  <c r="G29" i="12" s="1"/>
  <c r="H29" i="12" a="1"/>
  <c r="H29" i="12" s="1"/>
  <c r="I29" i="12" a="1"/>
  <c r="I29" i="12" s="1"/>
  <c r="J29" i="12" a="1"/>
  <c r="J29" i="12" s="1"/>
  <c r="K29" i="12" a="1"/>
  <c r="K29" i="12" s="1"/>
  <c r="B62" i="12" a="1"/>
  <c r="B62" i="12" s="1"/>
  <c r="C62" i="12" a="1"/>
  <c r="C62" i="12" s="1"/>
  <c r="D62" i="12" a="1"/>
  <c r="D62" i="12" s="1"/>
  <c r="E62" i="12" a="1"/>
  <c r="E62" i="12" s="1"/>
  <c r="F62" i="12" a="1"/>
  <c r="F62" i="12" s="1"/>
  <c r="G62" i="12" a="1"/>
  <c r="G62" i="12" s="1"/>
  <c r="H62" i="12" a="1"/>
  <c r="H62" i="12" s="1"/>
  <c r="I62" i="12" a="1"/>
  <c r="I62" i="12" s="1"/>
  <c r="J62" i="12" a="1"/>
  <c r="J62" i="12" s="1"/>
  <c r="K62" i="12" a="1"/>
  <c r="K62" i="12" s="1"/>
  <c r="B61" i="12" a="1"/>
  <c r="B61" i="12" s="1"/>
  <c r="C61" i="12" a="1"/>
  <c r="C61" i="12" s="1"/>
  <c r="D61" i="12" a="1"/>
  <c r="D61" i="12" s="1"/>
  <c r="E61" i="12" a="1"/>
  <c r="E61" i="12" s="1"/>
  <c r="F61" i="12" a="1"/>
  <c r="F61" i="12" s="1"/>
  <c r="G61" i="12" a="1"/>
  <c r="G61" i="12" s="1"/>
  <c r="H61" i="12" a="1"/>
  <c r="H61" i="12" s="1"/>
  <c r="I61" i="12" a="1"/>
  <c r="I61" i="12" s="1"/>
  <c r="J61" i="12" a="1"/>
  <c r="J61" i="12" s="1"/>
  <c r="K61" i="12" a="1"/>
  <c r="K61" i="12" s="1"/>
  <c r="B8" i="4"/>
  <c r="B60" i="12" a="1"/>
  <c r="B60" i="12" s="1"/>
  <c r="C60" i="12" a="1"/>
  <c r="C60" i="12" s="1"/>
  <c r="D60" i="12" a="1"/>
  <c r="D60" i="12" s="1"/>
  <c r="E60" i="12" a="1"/>
  <c r="E60" i="12" s="1"/>
  <c r="F60" i="12" a="1"/>
  <c r="F60" i="12" s="1"/>
  <c r="G60" i="12" a="1"/>
  <c r="G60" i="12" s="1"/>
  <c r="H60" i="12" a="1"/>
  <c r="H60" i="12" s="1"/>
  <c r="I60" i="12" a="1"/>
  <c r="I60" i="12" s="1"/>
  <c r="J60" i="12" a="1"/>
  <c r="J60" i="12" s="1"/>
  <c r="K60" i="12" a="1"/>
  <c r="K60" i="12" s="1"/>
  <c r="K6" i="4"/>
  <c r="AF35" i="4" s="1"/>
  <c r="B59" i="12" a="1"/>
  <c r="B59" i="12" s="1"/>
  <c r="C59" i="12" a="1"/>
  <c r="C59" i="12" s="1"/>
  <c r="D59" i="12" a="1"/>
  <c r="D59" i="12" s="1"/>
  <c r="E59" i="12" a="1"/>
  <c r="E59" i="12" s="1"/>
  <c r="F59" i="12" a="1"/>
  <c r="F59" i="12" s="1"/>
  <c r="G59" i="12" a="1"/>
  <c r="G59" i="12" s="1"/>
  <c r="H59" i="12" a="1"/>
  <c r="H59" i="12" s="1"/>
  <c r="I59" i="12" a="1"/>
  <c r="I59" i="12" s="1"/>
  <c r="J59" i="12" a="1"/>
  <c r="J59" i="12" s="1"/>
  <c r="K59" i="12" a="1"/>
  <c r="K59" i="12" s="1"/>
  <c r="B26" i="12" a="1"/>
  <c r="B26" i="12" s="1"/>
  <c r="C26" i="12" a="1"/>
  <c r="C26" i="12" s="1"/>
  <c r="D26" i="12" a="1"/>
  <c r="D26" i="12" s="1"/>
  <c r="E26" i="12" a="1"/>
  <c r="E26" i="12" s="1"/>
  <c r="F26" i="12" a="1"/>
  <c r="F26" i="12" s="1"/>
  <c r="G26" i="12" a="1"/>
  <c r="G26" i="12" s="1"/>
  <c r="H26" i="12" a="1"/>
  <c r="H26" i="12" s="1"/>
  <c r="I26" i="12" a="1"/>
  <c r="I26" i="12" s="1"/>
  <c r="J26" i="12" a="1"/>
  <c r="J26" i="12" s="1"/>
  <c r="K26" i="12" a="1"/>
  <c r="K26" i="12" s="1"/>
  <c r="B25" i="12" a="1"/>
  <c r="B25" i="12" s="1"/>
  <c r="C25" i="12" a="1"/>
  <c r="C25" i="12" s="1"/>
  <c r="D25" i="12" a="1"/>
  <c r="D25" i="12" s="1"/>
  <c r="E25" i="12" a="1"/>
  <c r="E25" i="12" s="1"/>
  <c r="F25" i="12" a="1"/>
  <c r="F25" i="12" s="1"/>
  <c r="G25" i="12" a="1"/>
  <c r="G25" i="12" s="1"/>
  <c r="H25" i="12" a="1"/>
  <c r="H25" i="12" s="1"/>
  <c r="I25" i="12" a="1"/>
  <c r="I25" i="12" s="1"/>
  <c r="J25" i="12" a="1"/>
  <c r="J25" i="12" s="1"/>
  <c r="K25" i="12" a="1"/>
  <c r="K25" i="12" s="1"/>
  <c r="B32" i="12" a="1"/>
  <c r="B32" i="12" s="1"/>
  <c r="C32" i="12" a="1"/>
  <c r="C32" i="12" s="1"/>
  <c r="D32" i="12" a="1"/>
  <c r="D32" i="12" s="1"/>
  <c r="E32" i="12" a="1"/>
  <c r="E32" i="12" s="1"/>
  <c r="F32" i="12" a="1"/>
  <c r="F32" i="12" s="1"/>
  <c r="G32" i="12" a="1"/>
  <c r="G32" i="12" s="1"/>
  <c r="H32" i="12" a="1"/>
  <c r="H32" i="12" s="1"/>
  <c r="I32" i="12" a="1"/>
  <c r="I32" i="12" s="1"/>
  <c r="J32" i="12" a="1"/>
  <c r="J32" i="12" s="1"/>
  <c r="K32" i="12" a="1"/>
  <c r="K32" i="12" s="1"/>
  <c r="V58" i="4"/>
  <c r="U58" i="4"/>
  <c r="T58" i="4"/>
  <c r="S58" i="4"/>
  <c r="R58" i="4"/>
  <c r="Q58" i="4"/>
  <c r="P58" i="4"/>
  <c r="O58" i="4"/>
  <c r="N58" i="4"/>
  <c r="M58" i="4"/>
  <c r="L58" i="4"/>
  <c r="K58" i="4"/>
  <c r="J58" i="4"/>
  <c r="I58" i="4"/>
  <c r="H58" i="4"/>
  <c r="F58" i="4"/>
  <c r="V56" i="4"/>
  <c r="U56" i="4"/>
  <c r="T56" i="4"/>
  <c r="S56" i="4"/>
  <c r="R56" i="4"/>
  <c r="Q56" i="4"/>
  <c r="P56" i="4"/>
  <c r="O56" i="4"/>
  <c r="N56" i="4"/>
  <c r="M56" i="4"/>
  <c r="L56" i="4"/>
  <c r="K56" i="4"/>
  <c r="J56" i="4"/>
  <c r="I56" i="4"/>
  <c r="H56" i="4"/>
  <c r="F56" i="4"/>
  <c r="V55" i="4"/>
  <c r="U55" i="4"/>
  <c r="T55" i="4"/>
  <c r="S55" i="4"/>
  <c r="R55" i="4"/>
  <c r="Q55" i="4"/>
  <c r="P55" i="4"/>
  <c r="O55" i="4"/>
  <c r="N55" i="4"/>
  <c r="M55" i="4"/>
  <c r="L55" i="4"/>
  <c r="K55" i="4"/>
  <c r="J55" i="4"/>
  <c r="I55" i="4"/>
  <c r="H55" i="4"/>
  <c r="F55" i="4"/>
  <c r="V54" i="4"/>
  <c r="U54" i="4"/>
  <c r="T54" i="4"/>
  <c r="S54" i="4"/>
  <c r="R54" i="4"/>
  <c r="Q54" i="4"/>
  <c r="P54" i="4"/>
  <c r="O54" i="4"/>
  <c r="N54" i="4"/>
  <c r="M54" i="4"/>
  <c r="L54" i="4"/>
  <c r="K54" i="4"/>
  <c r="J54" i="4"/>
  <c r="I54" i="4"/>
  <c r="H54" i="4"/>
  <c r="F54" i="4"/>
  <c r="V53" i="4"/>
  <c r="U53" i="4"/>
  <c r="T53" i="4"/>
  <c r="S53" i="4"/>
  <c r="R53" i="4"/>
  <c r="Q53" i="4"/>
  <c r="P53" i="4"/>
  <c r="O53" i="4"/>
  <c r="N53" i="4"/>
  <c r="M53" i="4"/>
  <c r="L53" i="4"/>
  <c r="K53" i="4"/>
  <c r="J53" i="4"/>
  <c r="I53" i="4"/>
  <c r="H53" i="4"/>
  <c r="F53" i="4"/>
  <c r="V50" i="4"/>
  <c r="U50" i="4"/>
  <c r="T50" i="4"/>
  <c r="S50" i="4"/>
  <c r="R50" i="4"/>
  <c r="Q50" i="4"/>
  <c r="P50" i="4"/>
  <c r="O50" i="4"/>
  <c r="N50" i="4"/>
  <c r="M50" i="4"/>
  <c r="L50" i="4"/>
  <c r="K50" i="4"/>
  <c r="J50" i="4"/>
  <c r="I50" i="4"/>
  <c r="H50" i="4"/>
  <c r="V47" i="4"/>
  <c r="U47" i="4"/>
  <c r="T47" i="4"/>
  <c r="S47" i="4"/>
  <c r="R47" i="4"/>
  <c r="Q47" i="4"/>
  <c r="P47" i="4"/>
  <c r="O47" i="4"/>
  <c r="N47" i="4"/>
  <c r="M47" i="4"/>
  <c r="L47" i="4"/>
  <c r="K47" i="4"/>
  <c r="J47" i="4"/>
  <c r="I47" i="4"/>
  <c r="H47" i="4"/>
  <c r="V46" i="4"/>
  <c r="U46" i="4"/>
  <c r="T46" i="4"/>
  <c r="S46" i="4"/>
  <c r="R46" i="4"/>
  <c r="Q46" i="4"/>
  <c r="P46" i="4"/>
  <c r="O46" i="4"/>
  <c r="N46" i="4"/>
  <c r="M46" i="4"/>
  <c r="L46" i="4"/>
  <c r="K46" i="4"/>
  <c r="J46" i="4"/>
  <c r="I46" i="4"/>
  <c r="H46" i="4"/>
  <c r="V45" i="4"/>
  <c r="U45" i="4"/>
  <c r="T45" i="4"/>
  <c r="S45" i="4"/>
  <c r="R45" i="4"/>
  <c r="Q45" i="4"/>
  <c r="P45" i="4"/>
  <c r="O45" i="4"/>
  <c r="N45" i="4"/>
  <c r="M45" i="4"/>
  <c r="L45" i="4"/>
  <c r="K45" i="4"/>
  <c r="J45" i="4"/>
  <c r="I45" i="4"/>
  <c r="H45" i="4"/>
  <c r="V44" i="4"/>
  <c r="U44" i="4"/>
  <c r="T44" i="4"/>
  <c r="S44" i="4"/>
  <c r="R44" i="4"/>
  <c r="Q44" i="4"/>
  <c r="P44" i="4"/>
  <c r="O44" i="4"/>
  <c r="N44" i="4"/>
  <c r="M44" i="4"/>
  <c r="L44" i="4"/>
  <c r="K44" i="4"/>
  <c r="J44" i="4"/>
  <c r="I44" i="4"/>
  <c r="H44" i="4"/>
  <c r="F44" i="4"/>
  <c r="V43" i="4"/>
  <c r="U43" i="4"/>
  <c r="T43" i="4"/>
  <c r="S43" i="4"/>
  <c r="R43" i="4"/>
  <c r="Q43" i="4"/>
  <c r="P43" i="4"/>
  <c r="O43" i="4"/>
  <c r="N43" i="4"/>
  <c r="M43" i="4"/>
  <c r="L43" i="4"/>
  <c r="K43" i="4"/>
  <c r="J43" i="4"/>
  <c r="I43" i="4"/>
  <c r="H43" i="4"/>
  <c r="F43" i="4"/>
  <c r="V41" i="4"/>
  <c r="BS41" i="4" s="1"/>
  <c r="U41" i="4"/>
  <c r="T41" i="4"/>
  <c r="S41" i="4"/>
  <c r="R41" i="4"/>
  <c r="Q41" i="4"/>
  <c r="P41" i="4"/>
  <c r="O41" i="4"/>
  <c r="N41" i="4"/>
  <c r="M41" i="4"/>
  <c r="L41" i="4"/>
  <c r="K41" i="4"/>
  <c r="J41" i="4"/>
  <c r="I41" i="4"/>
  <c r="H41" i="4"/>
  <c r="F41" i="4"/>
  <c r="V40" i="4"/>
  <c r="U40" i="4"/>
  <c r="T40" i="4"/>
  <c r="S40" i="4"/>
  <c r="R40" i="4"/>
  <c r="Q40" i="4"/>
  <c r="P40" i="4"/>
  <c r="O40" i="4"/>
  <c r="N40" i="4"/>
  <c r="M40" i="4"/>
  <c r="L40" i="4"/>
  <c r="K40" i="4"/>
  <c r="J40" i="4"/>
  <c r="I40" i="4"/>
  <c r="H40" i="4"/>
  <c r="F40" i="4"/>
  <c r="V39" i="4"/>
  <c r="U39" i="4"/>
  <c r="T39" i="4"/>
  <c r="S39" i="4"/>
  <c r="R39" i="4"/>
  <c r="Q39" i="4"/>
  <c r="P39" i="4"/>
  <c r="O39" i="4"/>
  <c r="N39" i="4"/>
  <c r="M39" i="4"/>
  <c r="L39" i="4"/>
  <c r="K39" i="4"/>
  <c r="J39" i="4"/>
  <c r="I39" i="4"/>
  <c r="H39" i="4"/>
  <c r="F39" i="4"/>
  <c r="V38" i="4"/>
  <c r="U38" i="4"/>
  <c r="T38" i="4"/>
  <c r="S38" i="4"/>
  <c r="R38" i="4"/>
  <c r="Q38" i="4"/>
  <c r="P38" i="4"/>
  <c r="O38" i="4"/>
  <c r="N38" i="4"/>
  <c r="M38" i="4"/>
  <c r="L38" i="4"/>
  <c r="K38" i="4"/>
  <c r="J38" i="4"/>
  <c r="I38" i="4"/>
  <c r="H38" i="4"/>
  <c r="F38" i="4"/>
  <c r="V37" i="4"/>
  <c r="U37" i="4"/>
  <c r="T37" i="4"/>
  <c r="S37" i="4"/>
  <c r="R37" i="4"/>
  <c r="Q37" i="4"/>
  <c r="P37" i="4"/>
  <c r="O37" i="4"/>
  <c r="N37" i="4"/>
  <c r="M37" i="4"/>
  <c r="L37" i="4"/>
  <c r="K37" i="4"/>
  <c r="J37" i="4"/>
  <c r="I37" i="4"/>
  <c r="H37" i="4"/>
  <c r="F37" i="4"/>
  <c r="V35" i="4"/>
  <c r="U35" i="4"/>
  <c r="T35" i="4"/>
  <c r="S35" i="4"/>
  <c r="R35" i="4"/>
  <c r="Q35" i="4"/>
  <c r="P35" i="4"/>
  <c r="O35" i="4"/>
  <c r="N35" i="4"/>
  <c r="M35" i="4"/>
  <c r="L35" i="4"/>
  <c r="K35" i="4"/>
  <c r="J35" i="4"/>
  <c r="I35" i="4"/>
  <c r="H35" i="4"/>
  <c r="F35" i="4"/>
  <c r="V34" i="4"/>
  <c r="U34" i="4"/>
  <c r="T34" i="4"/>
  <c r="S34" i="4"/>
  <c r="R34" i="4"/>
  <c r="Q34" i="4"/>
  <c r="P34" i="4"/>
  <c r="O34" i="4"/>
  <c r="N34" i="4"/>
  <c r="M34" i="4"/>
  <c r="L34" i="4"/>
  <c r="K34" i="4"/>
  <c r="J34" i="4"/>
  <c r="I34" i="4"/>
  <c r="H34" i="4"/>
  <c r="F34" i="4"/>
  <c r="V33" i="4"/>
  <c r="U33" i="4"/>
  <c r="T33" i="4"/>
  <c r="S33" i="4"/>
  <c r="R33" i="4"/>
  <c r="Q33" i="4"/>
  <c r="P33" i="4"/>
  <c r="AL31" i="4" s="1"/>
  <c r="O33" i="4"/>
  <c r="AK31" i="4" s="1"/>
  <c r="N33" i="4"/>
  <c r="M33" i="4"/>
  <c r="L33" i="4"/>
  <c r="K33" i="4"/>
  <c r="AG31" i="4" s="1"/>
  <c r="J33" i="4"/>
  <c r="I33" i="4"/>
  <c r="H33" i="4"/>
  <c r="AD31" i="4" s="1"/>
  <c r="F33" i="4"/>
  <c r="V32" i="4"/>
  <c r="U32" i="4"/>
  <c r="T32" i="4"/>
  <c r="S32" i="4"/>
  <c r="R32" i="4"/>
  <c r="Q32" i="4"/>
  <c r="P32" i="4"/>
  <c r="O32" i="4"/>
  <c r="N32" i="4"/>
  <c r="M32" i="4"/>
  <c r="L32" i="4"/>
  <c r="K32" i="4"/>
  <c r="J32" i="4"/>
  <c r="I32" i="4"/>
  <c r="H32" i="4"/>
  <c r="F32" i="4"/>
  <c r="V31" i="4"/>
  <c r="U31" i="4"/>
  <c r="T31" i="4"/>
  <c r="S31" i="4"/>
  <c r="R31" i="4"/>
  <c r="Q31" i="4"/>
  <c r="P31" i="4"/>
  <c r="O31" i="4"/>
  <c r="N31" i="4"/>
  <c r="M31" i="4"/>
  <c r="L31" i="4"/>
  <c r="K31" i="4"/>
  <c r="J31" i="4"/>
  <c r="I31" i="4"/>
  <c r="H31" i="4"/>
  <c r="F31" i="4"/>
  <c r="V29" i="4"/>
  <c r="BS29" i="4" s="1"/>
  <c r="U29" i="4"/>
  <c r="T29" i="4"/>
  <c r="S29" i="4"/>
  <c r="R29" i="4"/>
  <c r="Q29" i="4"/>
  <c r="P29" i="4"/>
  <c r="O29" i="4"/>
  <c r="N29" i="4"/>
  <c r="M29" i="4"/>
  <c r="L29" i="4"/>
  <c r="K29" i="4"/>
  <c r="J29" i="4"/>
  <c r="I29" i="4"/>
  <c r="H29" i="4"/>
  <c r="F29" i="4"/>
  <c r="V27" i="4"/>
  <c r="BS27" i="4" s="1"/>
  <c r="U27" i="4"/>
  <c r="T27" i="4"/>
  <c r="S27" i="4"/>
  <c r="R27" i="4"/>
  <c r="Q27" i="4"/>
  <c r="P27" i="4"/>
  <c r="O27" i="4"/>
  <c r="N27" i="4"/>
  <c r="M27" i="4"/>
  <c r="L27" i="4"/>
  <c r="K27" i="4"/>
  <c r="J27" i="4"/>
  <c r="I27" i="4"/>
  <c r="H27" i="4"/>
  <c r="F27" i="4"/>
  <c r="V26" i="4"/>
  <c r="U26" i="4"/>
  <c r="T26" i="4"/>
  <c r="S26" i="4"/>
  <c r="R26" i="4"/>
  <c r="Q26" i="4"/>
  <c r="P26" i="4"/>
  <c r="O26" i="4"/>
  <c r="N26" i="4"/>
  <c r="M26" i="4"/>
  <c r="L26" i="4"/>
  <c r="K26" i="4"/>
  <c r="J26" i="4"/>
  <c r="I26" i="4"/>
  <c r="H26" i="4"/>
  <c r="F26" i="4"/>
  <c r="V25" i="4"/>
  <c r="U25" i="4"/>
  <c r="T25" i="4"/>
  <c r="S25" i="4"/>
  <c r="R25" i="4"/>
  <c r="Q25" i="4"/>
  <c r="P25" i="4"/>
  <c r="O25" i="4"/>
  <c r="N25" i="4"/>
  <c r="M25" i="4"/>
  <c r="L25" i="4"/>
  <c r="K25" i="4"/>
  <c r="J25" i="4"/>
  <c r="I25" i="4"/>
  <c r="H25" i="4"/>
  <c r="F25" i="4"/>
  <c r="V24" i="4"/>
  <c r="U24" i="4"/>
  <c r="T24" i="4"/>
  <c r="S24" i="4"/>
  <c r="R24" i="4"/>
  <c r="Q24" i="4"/>
  <c r="P24" i="4"/>
  <c r="O24" i="4"/>
  <c r="N24" i="4"/>
  <c r="M24" i="4"/>
  <c r="L24" i="4"/>
  <c r="K24" i="4"/>
  <c r="J24" i="4"/>
  <c r="I24" i="4"/>
  <c r="H24" i="4"/>
  <c r="F24" i="4"/>
  <c r="V23" i="4"/>
  <c r="U23" i="4"/>
  <c r="T23" i="4"/>
  <c r="S23" i="4"/>
  <c r="R23" i="4"/>
  <c r="Q23" i="4"/>
  <c r="P23" i="4"/>
  <c r="O23" i="4"/>
  <c r="N23" i="4"/>
  <c r="M23" i="4"/>
  <c r="L23" i="4"/>
  <c r="K23" i="4"/>
  <c r="J23" i="4"/>
  <c r="I23" i="4"/>
  <c r="H23" i="4"/>
  <c r="V22" i="4"/>
  <c r="U22" i="4"/>
  <c r="T22" i="4"/>
  <c r="S22" i="4"/>
  <c r="R22" i="4"/>
  <c r="Q22" i="4"/>
  <c r="P22" i="4"/>
  <c r="O22" i="4"/>
  <c r="N22" i="4"/>
  <c r="M22" i="4"/>
  <c r="L22" i="4"/>
  <c r="K22" i="4"/>
  <c r="J22" i="4"/>
  <c r="I22" i="4"/>
  <c r="H22" i="4"/>
  <c r="AQ9" i="4" s="1"/>
  <c r="F22" i="4"/>
  <c r="V20" i="4"/>
  <c r="U20" i="4"/>
  <c r="T20" i="4"/>
  <c r="S20" i="4"/>
  <c r="R20" i="4"/>
  <c r="Q20" i="4"/>
  <c r="P20" i="4"/>
  <c r="O20" i="4"/>
  <c r="N20" i="4"/>
  <c r="M20" i="4"/>
  <c r="L20" i="4"/>
  <c r="K20" i="4"/>
  <c r="J20" i="4"/>
  <c r="I20" i="4"/>
  <c r="H20" i="4"/>
  <c r="V18" i="4"/>
  <c r="U18" i="4"/>
  <c r="T18" i="4"/>
  <c r="S18" i="4"/>
  <c r="R18" i="4"/>
  <c r="Q18" i="4"/>
  <c r="P18" i="4"/>
  <c r="O18" i="4"/>
  <c r="N18" i="4"/>
  <c r="M18" i="4"/>
  <c r="L18" i="4"/>
  <c r="K18" i="4"/>
  <c r="J18" i="4"/>
  <c r="I18" i="4"/>
  <c r="H18" i="4"/>
  <c r="F18" i="4"/>
  <c r="F45" i="4" s="1"/>
  <c r="V16" i="4"/>
  <c r="U16" i="4"/>
  <c r="T16" i="4"/>
  <c r="S16" i="4"/>
  <c r="R16" i="4"/>
  <c r="Q16" i="4"/>
  <c r="P16" i="4"/>
  <c r="O16" i="4"/>
  <c r="N16" i="4"/>
  <c r="M16" i="4"/>
  <c r="L16" i="4"/>
  <c r="K16" i="4"/>
  <c r="J16" i="4"/>
  <c r="I16" i="4"/>
  <c r="H16" i="4"/>
  <c r="V14" i="4"/>
  <c r="U14" i="4"/>
  <c r="T14" i="4"/>
  <c r="S14" i="4"/>
  <c r="R14" i="4"/>
  <c r="Q14" i="4"/>
  <c r="P14" i="4"/>
  <c r="O14" i="4"/>
  <c r="N14" i="4"/>
  <c r="M14" i="4"/>
  <c r="L14" i="4"/>
  <c r="K14" i="4"/>
  <c r="J14" i="4"/>
  <c r="I14" i="4"/>
  <c r="H14" i="4"/>
  <c r="V12" i="4"/>
  <c r="U12" i="4"/>
  <c r="T12" i="4"/>
  <c r="S12" i="4"/>
  <c r="R12" i="4"/>
  <c r="Q12" i="4"/>
  <c r="P12" i="4"/>
  <c r="O12" i="4"/>
  <c r="N12" i="4"/>
  <c r="M12" i="4"/>
  <c r="L12" i="4"/>
  <c r="K12" i="4"/>
  <c r="J12" i="4"/>
  <c r="I12" i="4"/>
  <c r="H12" i="4"/>
  <c r="V11" i="4"/>
  <c r="U11" i="4"/>
  <c r="T11" i="4"/>
  <c r="S11" i="4"/>
  <c r="R11" i="4"/>
  <c r="Q11" i="4"/>
  <c r="P11" i="4"/>
  <c r="O11" i="4"/>
  <c r="N11" i="4"/>
  <c r="M11" i="4"/>
  <c r="L11" i="4"/>
  <c r="K11" i="4"/>
  <c r="J11" i="4"/>
  <c r="I11" i="4"/>
  <c r="H11" i="4"/>
  <c r="F11" i="4"/>
  <c r="V10" i="4"/>
  <c r="U10" i="4"/>
  <c r="T10" i="4"/>
  <c r="S10" i="4"/>
  <c r="R10" i="4"/>
  <c r="Q10" i="4"/>
  <c r="P10" i="4"/>
  <c r="O10" i="4"/>
  <c r="N10" i="4"/>
  <c r="M10" i="4"/>
  <c r="L10" i="4"/>
  <c r="K10" i="4"/>
  <c r="J10" i="4"/>
  <c r="I10" i="4"/>
  <c r="H10" i="4"/>
  <c r="F10" i="4"/>
  <c r="V9" i="4"/>
  <c r="U9" i="4"/>
  <c r="T9" i="4"/>
  <c r="S9" i="4"/>
  <c r="R9" i="4"/>
  <c r="Q9" i="4"/>
  <c r="P9" i="4"/>
  <c r="O9" i="4"/>
  <c r="N9" i="4"/>
  <c r="M9" i="4"/>
  <c r="L9" i="4"/>
  <c r="K9" i="4"/>
  <c r="J9" i="4"/>
  <c r="I9" i="4"/>
  <c r="H9" i="4"/>
  <c r="AD28" i="4" s="1"/>
  <c r="AD29" i="4" s="1"/>
  <c r="AD10" i="4" s="1"/>
  <c r="F9" i="4"/>
  <c r="V8" i="4"/>
  <c r="U8" i="4"/>
  <c r="T8" i="4"/>
  <c r="S8" i="4"/>
  <c r="R8" i="4"/>
  <c r="Q8" i="4"/>
  <c r="P8" i="4"/>
  <c r="O8" i="4"/>
  <c r="N8" i="4"/>
  <c r="M8" i="4"/>
  <c r="L8" i="4"/>
  <c r="K8" i="4"/>
  <c r="J8" i="4"/>
  <c r="I8" i="4"/>
  <c r="F8" i="4"/>
  <c r="V7" i="4"/>
  <c r="U7" i="4"/>
  <c r="T7" i="4"/>
  <c r="S7" i="4"/>
  <c r="R7" i="4"/>
  <c r="Q7" i="4"/>
  <c r="P7" i="4"/>
  <c r="O7" i="4"/>
  <c r="N7" i="4"/>
  <c r="M7" i="4"/>
  <c r="L7" i="4"/>
  <c r="K7" i="4"/>
  <c r="J7" i="4"/>
  <c r="I7" i="4"/>
  <c r="H7" i="4"/>
  <c r="F7" i="4"/>
  <c r="V6" i="4"/>
  <c r="U6" i="4"/>
  <c r="AP35" i="4" s="1"/>
  <c r="T6" i="4"/>
  <c r="AO35" i="4" s="1"/>
  <c r="S6" i="4"/>
  <c r="AN35" i="4" s="1"/>
  <c r="R6" i="4"/>
  <c r="AM35" i="4" s="1"/>
  <c r="Q6" i="4"/>
  <c r="AL35" i="4" s="1"/>
  <c r="P6" i="4"/>
  <c r="AK35" i="4" s="1"/>
  <c r="O6" i="4"/>
  <c r="AJ35" i="4" s="1"/>
  <c r="N6" i="4"/>
  <c r="AI35" i="4" s="1"/>
  <c r="M6" i="4"/>
  <c r="AH35" i="4" s="1"/>
  <c r="L6" i="4"/>
  <c r="AG35" i="4" s="1"/>
  <c r="J6" i="4"/>
  <c r="AE35" i="4" s="1"/>
  <c r="I6" i="4"/>
  <c r="AD35" i="4" s="1"/>
  <c r="F6" i="4"/>
  <c r="V4" i="4"/>
  <c r="U4" i="4"/>
  <c r="T4" i="4"/>
  <c r="S4" i="4"/>
  <c r="R4" i="4"/>
  <c r="Q4" i="4"/>
  <c r="P4" i="4"/>
  <c r="O4" i="4"/>
  <c r="N4" i="4"/>
  <c r="M4" i="4"/>
  <c r="L4" i="4"/>
  <c r="K4" i="4"/>
  <c r="J4" i="4"/>
  <c r="I4" i="4"/>
  <c r="H4" i="4"/>
  <c r="B53" i="12" a="1"/>
  <c r="B53" i="12" s="1"/>
  <c r="C53" i="12" a="1"/>
  <c r="C53" i="12" s="1"/>
  <c r="D53" i="12" a="1"/>
  <c r="D53" i="12" s="1"/>
  <c r="E53" i="12" a="1"/>
  <c r="E53" i="12" s="1"/>
  <c r="F53" i="12" a="1"/>
  <c r="F53" i="12" s="1"/>
  <c r="G53" i="12" a="1"/>
  <c r="G53" i="12" s="1"/>
  <c r="H53" i="12" a="1"/>
  <c r="H53" i="12" s="1"/>
  <c r="I53" i="12" a="1"/>
  <c r="I53" i="12" s="1"/>
  <c r="J53" i="12" a="1"/>
  <c r="J53" i="12" s="1"/>
  <c r="K53" i="12" a="1"/>
  <c r="K53" i="12" s="1"/>
  <c r="B48" i="12" a="1"/>
  <c r="B48" i="12" s="1"/>
  <c r="C48" i="12" a="1"/>
  <c r="C48" i="12" s="1"/>
  <c r="D48" i="12" a="1"/>
  <c r="D48" i="12" s="1"/>
  <c r="E48" i="12" a="1"/>
  <c r="E48" i="12" s="1"/>
  <c r="F48" i="12" a="1"/>
  <c r="F48" i="12" s="1"/>
  <c r="G48" i="12" a="1"/>
  <c r="G48" i="12" s="1"/>
  <c r="H48" i="12" a="1"/>
  <c r="H48" i="12" s="1"/>
  <c r="I48" i="12" a="1"/>
  <c r="I48" i="12" s="1"/>
  <c r="J48" i="12" a="1"/>
  <c r="J48" i="12" s="1"/>
  <c r="K48" i="12" a="1"/>
  <c r="K48" i="12" s="1"/>
  <c r="B58" i="12" a="1"/>
  <c r="B58" i="12" s="1"/>
  <c r="C58" i="12" a="1"/>
  <c r="C58" i="12" s="1"/>
  <c r="D58" i="12" a="1"/>
  <c r="D58" i="12" s="1"/>
  <c r="E58" i="12" a="1"/>
  <c r="E58" i="12" s="1"/>
  <c r="F58" i="12" a="1"/>
  <c r="F58" i="12" s="1"/>
  <c r="G58" i="12" a="1"/>
  <c r="G58" i="12" s="1"/>
  <c r="H58" i="12" a="1"/>
  <c r="H58" i="12" s="1"/>
  <c r="I58" i="12" a="1"/>
  <c r="I58" i="12" s="1"/>
  <c r="J58" i="12" a="1"/>
  <c r="J58" i="12" s="1"/>
  <c r="K58" i="12" a="1"/>
  <c r="K58" i="12" s="1"/>
  <c r="B27" i="12" a="1"/>
  <c r="B27" i="12" s="1"/>
  <c r="C27" i="12" a="1"/>
  <c r="C27" i="12" s="1"/>
  <c r="D27" i="12" a="1"/>
  <c r="D27" i="12" s="1"/>
  <c r="E27" i="12" a="1"/>
  <c r="E27" i="12" s="1"/>
  <c r="F27" i="12" a="1"/>
  <c r="F27" i="12" s="1"/>
  <c r="G27" i="12" a="1"/>
  <c r="G27" i="12" s="1"/>
  <c r="H27" i="12" a="1"/>
  <c r="H27" i="12" s="1"/>
  <c r="I27" i="12" a="1"/>
  <c r="I27" i="12" s="1"/>
  <c r="J27" i="12" a="1"/>
  <c r="J27" i="12" s="1"/>
  <c r="K27" i="12" a="1"/>
  <c r="K27" i="12" s="1"/>
  <c r="B34" i="12" a="1"/>
  <c r="B34" i="12" s="1"/>
  <c r="C34" i="12" a="1"/>
  <c r="C34" i="12" s="1"/>
  <c r="D34" i="12" a="1"/>
  <c r="D34" i="12" s="1"/>
  <c r="E34" i="12" a="1"/>
  <c r="E34" i="12" s="1"/>
  <c r="F34" i="12" a="1"/>
  <c r="F34" i="12" s="1"/>
  <c r="G34" i="12" a="1"/>
  <c r="G34" i="12" s="1"/>
  <c r="H34" i="12" a="1"/>
  <c r="H34" i="12" s="1"/>
  <c r="I34" i="12" a="1"/>
  <c r="I34" i="12" s="1"/>
  <c r="J34" i="12" a="1"/>
  <c r="J34" i="12" s="1"/>
  <c r="K34" i="12" a="1"/>
  <c r="K34" i="12" s="1"/>
  <c r="B22" i="12" a="1"/>
  <c r="B22" i="12" s="1"/>
  <c r="C22" i="12" a="1"/>
  <c r="C22" i="12" s="1"/>
  <c r="D22" i="12" a="1"/>
  <c r="D22" i="12" s="1"/>
  <c r="E22" i="12" a="1"/>
  <c r="E22" i="12" s="1"/>
  <c r="F22" i="12" a="1"/>
  <c r="F22" i="12" s="1"/>
  <c r="G22" i="12" a="1"/>
  <c r="G22" i="12" s="1"/>
  <c r="H22" i="12" a="1"/>
  <c r="H22" i="12" s="1"/>
  <c r="I22" i="12" a="1"/>
  <c r="I22" i="12" s="1"/>
  <c r="J22" i="12" a="1"/>
  <c r="J22" i="12" s="1"/>
  <c r="K22" i="12" a="1"/>
  <c r="K22" i="12" s="1"/>
  <c r="B33" i="12" a="1"/>
  <c r="B33" i="12" s="1"/>
  <c r="C33" i="12" a="1"/>
  <c r="C33" i="12" s="1"/>
  <c r="D33" i="12" a="1"/>
  <c r="D33" i="12" s="1"/>
  <c r="E33" i="12" a="1"/>
  <c r="E33" i="12" s="1"/>
  <c r="F33" i="12" a="1"/>
  <c r="F33" i="12" s="1"/>
  <c r="G33" i="12" a="1"/>
  <c r="G33" i="12" s="1"/>
  <c r="H33" i="12" a="1"/>
  <c r="H33" i="12" s="1"/>
  <c r="I33" i="12" a="1"/>
  <c r="I33" i="12" s="1"/>
  <c r="J33" i="12" a="1"/>
  <c r="J33" i="12" s="1"/>
  <c r="K33" i="12" a="1"/>
  <c r="K33" i="12" s="1"/>
  <c r="B57" i="12" a="1"/>
  <c r="B57" i="12" s="1"/>
  <c r="C57" i="12" a="1"/>
  <c r="C57" i="12" s="1"/>
  <c r="D57" i="12" a="1"/>
  <c r="D57" i="12" s="1"/>
  <c r="E57" i="12" a="1"/>
  <c r="E57" i="12" s="1"/>
  <c r="F57" i="12" a="1"/>
  <c r="F57" i="12" s="1"/>
  <c r="G57" i="12" a="1"/>
  <c r="G57" i="12" s="1"/>
  <c r="H57" i="12" a="1"/>
  <c r="H57" i="12" s="1"/>
  <c r="I57" i="12" a="1"/>
  <c r="I57" i="12" s="1"/>
  <c r="J57" i="12" a="1"/>
  <c r="J57" i="12" s="1"/>
  <c r="K57" i="12" a="1"/>
  <c r="K57" i="12" s="1"/>
  <c r="B52" i="12" a="1"/>
  <c r="B52" i="12" s="1"/>
  <c r="C52" i="12" a="1"/>
  <c r="C52" i="12" s="1"/>
  <c r="D52" i="12" a="1"/>
  <c r="D52" i="12" s="1"/>
  <c r="E52" i="12" a="1"/>
  <c r="E52" i="12" s="1"/>
  <c r="F52" i="12" a="1"/>
  <c r="F52" i="12" s="1"/>
  <c r="G52" i="12" a="1"/>
  <c r="G52" i="12" s="1"/>
  <c r="H52" i="12" a="1"/>
  <c r="H52" i="12" s="1"/>
  <c r="I52" i="12" a="1"/>
  <c r="I52" i="12" s="1"/>
  <c r="J52" i="12" a="1"/>
  <c r="J52" i="12" s="1"/>
  <c r="K52" i="12" a="1"/>
  <c r="K52" i="12" s="1"/>
  <c r="B41" i="12" a="1"/>
  <c r="B41" i="12" s="1"/>
  <c r="C41" i="12" a="1"/>
  <c r="C41" i="12" s="1"/>
  <c r="D41" i="12" a="1"/>
  <c r="D41" i="12" s="1"/>
  <c r="E41" i="12" a="1"/>
  <c r="E41" i="12" s="1"/>
  <c r="F41" i="12" a="1"/>
  <c r="F41" i="12" s="1"/>
  <c r="G41" i="12" a="1"/>
  <c r="G41" i="12" s="1"/>
  <c r="H41" i="12" a="1"/>
  <c r="H41" i="12" s="1"/>
  <c r="I41" i="12" a="1"/>
  <c r="I41" i="12" s="1"/>
  <c r="J41" i="12" a="1"/>
  <c r="J41" i="12" s="1"/>
  <c r="K41" i="12" a="1"/>
  <c r="K41" i="12" s="1"/>
  <c r="B35" i="12" a="1"/>
  <c r="B35" i="12" s="1"/>
  <c r="C35" i="12" a="1"/>
  <c r="C35" i="12" s="1"/>
  <c r="D35" i="12" a="1"/>
  <c r="D35" i="12" s="1"/>
  <c r="E35" i="12" a="1"/>
  <c r="E35" i="12" s="1"/>
  <c r="F35" i="12" a="1"/>
  <c r="F35" i="12" s="1"/>
  <c r="G35" i="12" a="1"/>
  <c r="G35" i="12" s="1"/>
  <c r="H35" i="12" a="1"/>
  <c r="H35" i="12" s="1"/>
  <c r="I35" i="12" a="1"/>
  <c r="I35" i="12" s="1"/>
  <c r="J35" i="12" a="1"/>
  <c r="J35" i="12" s="1"/>
  <c r="K35" i="12" a="1"/>
  <c r="K35" i="12" s="1"/>
  <c r="B54" i="12" a="1"/>
  <c r="B54" i="12" s="1"/>
  <c r="C54" i="12" a="1"/>
  <c r="C54" i="12" s="1"/>
  <c r="D54" i="12" a="1"/>
  <c r="D54" i="12" s="1"/>
  <c r="E54" i="12" a="1"/>
  <c r="E54" i="12" s="1"/>
  <c r="F54" i="12" a="1"/>
  <c r="F54" i="12" s="1"/>
  <c r="G54" i="12" a="1"/>
  <c r="G54" i="12" s="1"/>
  <c r="H54" i="12" a="1"/>
  <c r="H54" i="12" s="1"/>
  <c r="I54" i="12" a="1"/>
  <c r="I54" i="12" s="1"/>
  <c r="J54" i="12" a="1"/>
  <c r="J54" i="12" s="1"/>
  <c r="K54" i="12" a="1"/>
  <c r="K54" i="12" s="1"/>
  <c r="B49" i="12" a="1"/>
  <c r="B49" i="12" s="1"/>
  <c r="C49" i="12" a="1"/>
  <c r="C49" i="12" s="1"/>
  <c r="D49" i="12" a="1"/>
  <c r="D49" i="12" s="1"/>
  <c r="E49" i="12" a="1"/>
  <c r="E49" i="12" s="1"/>
  <c r="F49" i="12" a="1"/>
  <c r="F49" i="12" s="1"/>
  <c r="G49" i="12" a="1"/>
  <c r="G49" i="12" s="1"/>
  <c r="H49" i="12" a="1"/>
  <c r="H49" i="12" s="1"/>
  <c r="I49" i="12" a="1"/>
  <c r="I49" i="12" s="1"/>
  <c r="J49" i="12" a="1"/>
  <c r="J49" i="12" s="1"/>
  <c r="K49" i="12" a="1"/>
  <c r="K49" i="12" s="1"/>
  <c r="B36" i="12" a="1"/>
  <c r="B36" i="12" s="1"/>
  <c r="C36" i="12" a="1"/>
  <c r="C36" i="12" s="1"/>
  <c r="D36" i="12" a="1"/>
  <c r="D36" i="12" s="1"/>
  <c r="E36" i="12" a="1"/>
  <c r="E36" i="12" s="1"/>
  <c r="F36" i="12" a="1"/>
  <c r="F36" i="12" s="1"/>
  <c r="G36" i="12" a="1"/>
  <c r="G36" i="12" s="1"/>
  <c r="H36" i="12" a="1"/>
  <c r="H36" i="12" s="1"/>
  <c r="I36" i="12" a="1"/>
  <c r="I36" i="12" s="1"/>
  <c r="J36" i="12" a="1"/>
  <c r="J36" i="12" s="1"/>
  <c r="K36" i="12" a="1"/>
  <c r="K36" i="12" s="1"/>
  <c r="B28" i="12" a="1"/>
  <c r="B28" i="12" s="1"/>
  <c r="C28" i="12" a="1"/>
  <c r="C28" i="12" s="1"/>
  <c r="D28" i="12" a="1"/>
  <c r="D28" i="12" s="1"/>
  <c r="E28" i="12" a="1"/>
  <c r="E28" i="12" s="1"/>
  <c r="F28" i="12" a="1"/>
  <c r="F28" i="12" s="1"/>
  <c r="G28" i="12" a="1"/>
  <c r="G28" i="12" s="1"/>
  <c r="H28" i="12" a="1"/>
  <c r="H28" i="12" s="1"/>
  <c r="I28" i="12" a="1"/>
  <c r="I28" i="12" s="1"/>
  <c r="J28" i="12" a="1"/>
  <c r="J28" i="12" s="1"/>
  <c r="K28" i="12" a="1"/>
  <c r="K28" i="12" s="1"/>
  <c r="B50" i="12" a="1"/>
  <c r="B50" i="12" s="1"/>
  <c r="C50" i="12" a="1"/>
  <c r="C50" i="12" s="1"/>
  <c r="D50" i="12" a="1"/>
  <c r="D50" i="12" s="1"/>
  <c r="E50" i="12" a="1"/>
  <c r="E50" i="12" s="1"/>
  <c r="F50" i="12" a="1"/>
  <c r="F50" i="12" s="1"/>
  <c r="G50" i="12" a="1"/>
  <c r="G50" i="12" s="1"/>
  <c r="H50" i="12" a="1"/>
  <c r="H50" i="12" s="1"/>
  <c r="I50" i="12" a="1"/>
  <c r="I50" i="12" s="1"/>
  <c r="J50" i="12" a="1"/>
  <c r="J50" i="12" s="1"/>
  <c r="K50" i="12" a="1"/>
  <c r="K50" i="12" s="1"/>
  <c r="B55" i="12" a="1"/>
  <c r="B55" i="12" s="1"/>
  <c r="C55" i="12" a="1"/>
  <c r="C55" i="12" s="1"/>
  <c r="D55" i="12" a="1"/>
  <c r="D55" i="12" s="1"/>
  <c r="E55" i="12" a="1"/>
  <c r="E55" i="12" s="1"/>
  <c r="F55" i="12" a="1"/>
  <c r="F55" i="12" s="1"/>
  <c r="G55" i="12" a="1"/>
  <c r="G55" i="12" s="1"/>
  <c r="H55" i="12" a="1"/>
  <c r="H55" i="12" s="1"/>
  <c r="I55" i="12" a="1"/>
  <c r="I55" i="12" s="1"/>
  <c r="J55" i="12" a="1"/>
  <c r="J55" i="12" s="1"/>
  <c r="K55" i="12" a="1"/>
  <c r="K55" i="12" s="1"/>
  <c r="B37" i="12" a="1"/>
  <c r="B37" i="12" s="1"/>
  <c r="C37" i="12" a="1"/>
  <c r="C37" i="12" s="1"/>
  <c r="D37" i="12" a="1"/>
  <c r="D37" i="12" s="1"/>
  <c r="E37" i="12" a="1"/>
  <c r="E37" i="12" s="1"/>
  <c r="F37" i="12" a="1"/>
  <c r="F37" i="12" s="1"/>
  <c r="G37" i="12" a="1"/>
  <c r="G37" i="12" s="1"/>
  <c r="H37" i="12" a="1"/>
  <c r="H37" i="12" s="1"/>
  <c r="I37" i="12" a="1"/>
  <c r="I37" i="12" s="1"/>
  <c r="J37" i="12" a="1"/>
  <c r="J37" i="12" s="1"/>
  <c r="K37" i="12" a="1"/>
  <c r="K37" i="12" s="1"/>
  <c r="B38" i="12" a="1"/>
  <c r="B38" i="12" s="1"/>
  <c r="C38" i="12" a="1"/>
  <c r="C38" i="12" s="1"/>
  <c r="D38" i="12" a="1"/>
  <c r="D38" i="12" s="1"/>
  <c r="E38" i="12" a="1"/>
  <c r="E38" i="12" s="1"/>
  <c r="F38" i="12" a="1"/>
  <c r="F38" i="12" s="1"/>
  <c r="G38" i="12" a="1"/>
  <c r="G38" i="12" s="1"/>
  <c r="H38" i="12" a="1"/>
  <c r="H38" i="12" s="1"/>
  <c r="I38" i="12" a="1"/>
  <c r="I38" i="12" s="1"/>
  <c r="J38" i="12" a="1"/>
  <c r="J38" i="12" s="1"/>
  <c r="K38" i="12" a="1"/>
  <c r="K38" i="12" s="1"/>
  <c r="B30" i="12" a="1"/>
  <c r="B30" i="12" s="1"/>
  <c r="C30" i="12" a="1"/>
  <c r="C30" i="12" s="1"/>
  <c r="D30" i="12" a="1"/>
  <c r="D30" i="12" s="1"/>
  <c r="E30" i="12" a="1"/>
  <c r="E30" i="12" s="1"/>
  <c r="F30" i="12" a="1"/>
  <c r="F30" i="12" s="1"/>
  <c r="G30" i="12" a="1"/>
  <c r="G30" i="12" s="1"/>
  <c r="H30" i="12" a="1"/>
  <c r="H30" i="12" s="1"/>
  <c r="I30" i="12" a="1"/>
  <c r="I30" i="12" s="1"/>
  <c r="J30" i="12" a="1"/>
  <c r="J30" i="12" s="1"/>
  <c r="K30" i="12" a="1"/>
  <c r="K30" i="12" s="1"/>
  <c r="B39" i="12" a="1"/>
  <c r="B39" i="12" s="1"/>
  <c r="C39" i="12" a="1"/>
  <c r="C39" i="12" s="1"/>
  <c r="D39" i="12" a="1"/>
  <c r="D39" i="12" s="1"/>
  <c r="E39" i="12" a="1"/>
  <c r="E39" i="12" s="1"/>
  <c r="F39" i="12" a="1"/>
  <c r="F39" i="12" s="1"/>
  <c r="G39" i="12" a="1"/>
  <c r="G39" i="12" s="1"/>
  <c r="H39" i="12" a="1"/>
  <c r="H39" i="12" s="1"/>
  <c r="I39" i="12" a="1"/>
  <c r="I39" i="12" s="1"/>
  <c r="J39" i="12" a="1"/>
  <c r="J39" i="12" s="1"/>
  <c r="K39" i="12" a="1"/>
  <c r="K39" i="12" s="1"/>
  <c r="B42" i="12" a="1"/>
  <c r="B42" i="12" s="1"/>
  <c r="C42" i="12" a="1"/>
  <c r="C42" i="12" s="1"/>
  <c r="D42" i="12" a="1"/>
  <c r="D42" i="12" s="1"/>
  <c r="E42" i="12" a="1"/>
  <c r="E42" i="12" s="1"/>
  <c r="F42" i="12" a="1"/>
  <c r="F42" i="12" s="1"/>
  <c r="G42" i="12" a="1"/>
  <c r="G42" i="12" s="1"/>
  <c r="H42" i="12" a="1"/>
  <c r="H42" i="12" s="1"/>
  <c r="I42" i="12" a="1"/>
  <c r="I42" i="12" s="1"/>
  <c r="J42" i="12" a="1"/>
  <c r="J42" i="12" s="1"/>
  <c r="K42" i="12" a="1"/>
  <c r="K42" i="12" s="1"/>
  <c r="B56" i="12" a="1"/>
  <c r="B56" i="12" s="1"/>
  <c r="C56" i="12" a="1"/>
  <c r="C56" i="12" s="1"/>
  <c r="D56" i="12" a="1"/>
  <c r="D56" i="12" s="1"/>
  <c r="E56" i="12" a="1"/>
  <c r="E56" i="12" s="1"/>
  <c r="F56" i="12" a="1"/>
  <c r="F56" i="12" s="1"/>
  <c r="G56" i="12" a="1"/>
  <c r="G56" i="12" s="1"/>
  <c r="H56" i="12" a="1"/>
  <c r="H56" i="12" s="1"/>
  <c r="I56" i="12" a="1"/>
  <c r="I56" i="12" s="1"/>
  <c r="J56" i="12" a="1"/>
  <c r="J56" i="12" s="1"/>
  <c r="K56" i="12" a="1"/>
  <c r="K56" i="12" s="1"/>
  <c r="B40" i="12" a="1"/>
  <c r="B40" i="12" s="1"/>
  <c r="C40" i="12" a="1"/>
  <c r="C40" i="12" s="1"/>
  <c r="D40" i="12" a="1"/>
  <c r="D40" i="12" s="1"/>
  <c r="E40" i="12" a="1"/>
  <c r="E40" i="12" s="1"/>
  <c r="F40" i="12" a="1"/>
  <c r="F40" i="12" s="1"/>
  <c r="G40" i="12" a="1"/>
  <c r="G40" i="12" s="1"/>
  <c r="H40" i="12" a="1"/>
  <c r="H40" i="12" s="1"/>
  <c r="I40" i="12" a="1"/>
  <c r="I40" i="12" s="1"/>
  <c r="J40" i="12" a="1"/>
  <c r="J40" i="12" s="1"/>
  <c r="K40" i="12" a="1"/>
  <c r="K40" i="12" s="1"/>
  <c r="B43" i="12" a="1"/>
  <c r="B43" i="12" s="1"/>
  <c r="C43" i="12" a="1"/>
  <c r="C43" i="12" s="1"/>
  <c r="D43" i="12" a="1"/>
  <c r="D43" i="12" s="1"/>
  <c r="E43" i="12" a="1"/>
  <c r="E43" i="12" s="1"/>
  <c r="F43" i="12" a="1"/>
  <c r="F43" i="12" s="1"/>
  <c r="G43" i="12" a="1"/>
  <c r="G43" i="12" s="1"/>
  <c r="H43" i="12" a="1"/>
  <c r="H43" i="12" s="1"/>
  <c r="I43" i="12" a="1"/>
  <c r="I43" i="12" s="1"/>
  <c r="J43" i="12" a="1"/>
  <c r="J43" i="12" s="1"/>
  <c r="K43" i="12" a="1"/>
  <c r="K43" i="12" s="1"/>
  <c r="B45" i="12" a="1"/>
  <c r="B45" i="12" s="1"/>
  <c r="C45" i="12" a="1"/>
  <c r="C45" i="12" s="1"/>
  <c r="D45" i="12" a="1"/>
  <c r="D45" i="12" s="1"/>
  <c r="E45" i="12" a="1"/>
  <c r="E45" i="12" s="1"/>
  <c r="F45" i="12" a="1"/>
  <c r="F45" i="12" s="1"/>
  <c r="G45" i="12" a="1"/>
  <c r="G45" i="12" s="1"/>
  <c r="H45" i="12" a="1"/>
  <c r="H45" i="12" s="1"/>
  <c r="I45" i="12" a="1"/>
  <c r="I45" i="12" s="1"/>
  <c r="J45" i="12" a="1"/>
  <c r="J45" i="12" s="1"/>
  <c r="K45" i="12" a="1"/>
  <c r="K45" i="12" s="1"/>
  <c r="B46" i="12" a="1"/>
  <c r="B46" i="12" s="1"/>
  <c r="C46" i="12" a="1"/>
  <c r="C46" i="12" s="1"/>
  <c r="D46" i="12" a="1"/>
  <c r="D46" i="12" s="1"/>
  <c r="E46" i="12" a="1"/>
  <c r="E46" i="12" s="1"/>
  <c r="F46" i="12" a="1"/>
  <c r="F46" i="12" s="1"/>
  <c r="G46" i="12" a="1"/>
  <c r="G46" i="12" s="1"/>
  <c r="H46" i="12" a="1"/>
  <c r="H46" i="12" s="1"/>
  <c r="I46" i="12" a="1"/>
  <c r="I46" i="12" s="1"/>
  <c r="J46" i="12" a="1"/>
  <c r="J46" i="12" s="1"/>
  <c r="K46" i="12" a="1"/>
  <c r="K46" i="12" s="1"/>
  <c r="B51" i="12" a="1"/>
  <c r="B51" i="12" s="1"/>
  <c r="C51" i="12" a="1"/>
  <c r="C51" i="12" s="1"/>
  <c r="D51" i="12" a="1"/>
  <c r="D51" i="12" s="1"/>
  <c r="E51" i="12" a="1"/>
  <c r="E51" i="12" s="1"/>
  <c r="F51" i="12" a="1"/>
  <c r="F51" i="12" s="1"/>
  <c r="G51" i="12" a="1"/>
  <c r="G51" i="12" s="1"/>
  <c r="H51" i="12" a="1"/>
  <c r="H51" i="12" s="1"/>
  <c r="I51" i="12" a="1"/>
  <c r="I51" i="12" s="1"/>
  <c r="J51" i="12" a="1"/>
  <c r="J51" i="12" s="1"/>
  <c r="K51" i="12" a="1"/>
  <c r="K51" i="12" s="1"/>
  <c r="B44" i="12" a="1"/>
  <c r="B44" i="12" s="1"/>
  <c r="C44" i="12" a="1"/>
  <c r="C44" i="12" s="1"/>
  <c r="D44" i="12" a="1"/>
  <c r="D44" i="12" s="1"/>
  <c r="E44" i="12" a="1"/>
  <c r="E44" i="12" s="1"/>
  <c r="F44" i="12" a="1"/>
  <c r="F44" i="12" s="1"/>
  <c r="G44" i="12" a="1"/>
  <c r="G44" i="12" s="1"/>
  <c r="H44" i="12" a="1"/>
  <c r="H44" i="12" s="1"/>
  <c r="I44" i="12" a="1"/>
  <c r="I44" i="12" s="1"/>
  <c r="J44" i="12" a="1"/>
  <c r="J44" i="12" s="1"/>
  <c r="K44" i="12" a="1"/>
  <c r="K44" i="12" s="1"/>
  <c r="B24" i="12" a="1"/>
  <c r="B24" i="12" s="1"/>
  <c r="C24" i="12" a="1"/>
  <c r="C24" i="12" s="1"/>
  <c r="D24" i="12" a="1"/>
  <c r="D24" i="12" s="1"/>
  <c r="E24" i="12" a="1"/>
  <c r="E24" i="12" s="1"/>
  <c r="F24" i="12" a="1"/>
  <c r="F24" i="12" s="1"/>
  <c r="G24" i="12" a="1"/>
  <c r="G24" i="12" s="1"/>
  <c r="H24" i="12" a="1"/>
  <c r="H24" i="12" s="1"/>
  <c r="I24" i="12" a="1"/>
  <c r="I24" i="12" s="1"/>
  <c r="J24" i="12" a="1"/>
  <c r="J24" i="12" s="1"/>
  <c r="K24" i="12" a="1"/>
  <c r="K24" i="12" s="1"/>
  <c r="B47" i="12" a="1"/>
  <c r="B47" i="12" s="1"/>
  <c r="C47" i="12" a="1"/>
  <c r="C47" i="12" s="1"/>
  <c r="D47" i="12" a="1"/>
  <c r="D47" i="12" s="1"/>
  <c r="E47" i="12" a="1"/>
  <c r="E47" i="12" s="1"/>
  <c r="F47" i="12" a="1"/>
  <c r="F47" i="12" s="1"/>
  <c r="G47" i="12" a="1"/>
  <c r="G47" i="12" s="1"/>
  <c r="H47" i="12" a="1"/>
  <c r="H47" i="12" s="1"/>
  <c r="I47" i="12" a="1"/>
  <c r="I47" i="12" s="1"/>
  <c r="J47" i="12" a="1"/>
  <c r="J47" i="12" s="1"/>
  <c r="K47" i="12" a="1"/>
  <c r="K47" i="12" s="1"/>
  <c r="B23" i="12" a="1"/>
  <c r="B23" i="12" s="1"/>
  <c r="C23" i="12" a="1"/>
  <c r="C23" i="12" s="1"/>
  <c r="D23" i="12" a="1"/>
  <c r="D23" i="12" s="1"/>
  <c r="E23" i="12" a="1"/>
  <c r="E23" i="12" s="1"/>
  <c r="F23" i="12" a="1"/>
  <c r="F23" i="12" s="1"/>
  <c r="G23" i="12" a="1"/>
  <c r="G23" i="12" s="1"/>
  <c r="H23" i="12" a="1"/>
  <c r="H23" i="12" s="1"/>
  <c r="I23" i="12" a="1"/>
  <c r="I23" i="12" s="1"/>
  <c r="J23" i="12" a="1"/>
  <c r="J23" i="12" s="1"/>
  <c r="K23" i="12" a="1"/>
  <c r="K23" i="12" s="1"/>
  <c r="B31" i="12" a="1"/>
  <c r="B31" i="12" s="1"/>
  <c r="C31" i="12" a="1"/>
  <c r="C31" i="12" s="1"/>
  <c r="D31" i="12" a="1"/>
  <c r="D31" i="12" s="1"/>
  <c r="E31" i="12" a="1"/>
  <c r="E31" i="12" s="1"/>
  <c r="F31" i="12" a="1"/>
  <c r="F31" i="12" s="1"/>
  <c r="G31" i="12" a="1"/>
  <c r="G31" i="12" s="1"/>
  <c r="H31" i="12" a="1"/>
  <c r="H31" i="12" s="1"/>
  <c r="I31" i="12" a="1"/>
  <c r="I31" i="12" s="1"/>
  <c r="J31" i="12" a="1"/>
  <c r="J31" i="12" s="1"/>
  <c r="K31" i="12" a="1"/>
  <c r="K31" i="12" s="1"/>
  <c r="B7" i="4"/>
  <c r="B9" i="12" a="1"/>
  <c r="B9" i="12" s="1"/>
  <c r="C9" i="12" a="1"/>
  <c r="C9" i="12" s="1"/>
  <c r="D9" i="12" a="1"/>
  <c r="D9" i="12" s="1"/>
  <c r="E9" i="12" a="1"/>
  <c r="E9" i="12" s="1"/>
  <c r="F9" i="12" a="1"/>
  <c r="F9" i="12" s="1"/>
  <c r="G9" i="12" a="1"/>
  <c r="G9" i="12" s="1"/>
  <c r="H9" i="12" a="1"/>
  <c r="H9" i="12" s="1"/>
  <c r="I9" i="12" a="1"/>
  <c r="I9" i="12" s="1"/>
  <c r="B10" i="12" a="1"/>
  <c r="B10" i="12" s="1"/>
  <c r="C10" i="12" a="1"/>
  <c r="C10" i="12" s="1"/>
  <c r="D10" i="12" a="1"/>
  <c r="D10" i="12" s="1"/>
  <c r="E10" i="12" a="1"/>
  <c r="E10" i="12" s="1"/>
  <c r="F10" i="12" a="1"/>
  <c r="F10" i="12" s="1"/>
  <c r="G10" i="12" a="1"/>
  <c r="G10" i="12" s="1"/>
  <c r="H10" i="12" a="1"/>
  <c r="H10" i="12" s="1"/>
  <c r="I10" i="12" a="1"/>
  <c r="I10" i="12" s="1"/>
  <c r="AS35" i="4" l="1"/>
  <c r="AQ32" i="4"/>
  <c r="AI32" i="4"/>
  <c r="AP30" i="4"/>
  <c r="AH30" i="4"/>
  <c r="AP32" i="4"/>
  <c r="AH32" i="4"/>
  <c r="AO30" i="4"/>
  <c r="AG30" i="4"/>
  <c r="AD8" i="4"/>
  <c r="AE8" i="4" s="1"/>
  <c r="AE10" i="4" s="1"/>
  <c r="AD9" i="4"/>
  <c r="AP28" i="4"/>
  <c r="AP29" i="4" s="1"/>
  <c r="AE31" i="4"/>
  <c r="AM31" i="4"/>
  <c r="AO32" i="4"/>
  <c r="AG32" i="4"/>
  <c r="AN30" i="4"/>
  <c r="AF30" i="4"/>
  <c r="AF31" i="4"/>
  <c r="AN31" i="4"/>
  <c r="AN32" i="4"/>
  <c r="AF32" i="4"/>
  <c r="AM30" i="4"/>
  <c r="AE30" i="4"/>
  <c r="AD12" i="4"/>
  <c r="AM32" i="4"/>
  <c r="AE32" i="4"/>
  <c r="AL30" i="4"/>
  <c r="AH31" i="4"/>
  <c r="AS31" i="4" s="1"/>
  <c r="AP31" i="4"/>
  <c r="AL32" i="4"/>
  <c r="AK30" i="4"/>
  <c r="AL28" i="4"/>
  <c r="AL29" i="4" s="1"/>
  <c r="AI31" i="4"/>
  <c r="AQ31" i="4"/>
  <c r="AK32" i="4"/>
  <c r="AR30" i="4"/>
  <c r="AJ30" i="4"/>
  <c r="AS30" i="4" s="1"/>
  <c r="AO31" i="4"/>
  <c r="AJ31" i="4"/>
  <c r="AR31" i="4"/>
  <c r="AR32" i="4"/>
  <c r="AJ32" i="4"/>
  <c r="AQ30" i="4"/>
  <c r="AI30" i="4"/>
  <c r="AD32" i="4"/>
  <c r="AD13" i="4" s="1"/>
  <c r="AE7" i="4"/>
  <c r="AF7" i="4" s="1"/>
  <c r="AG7" i="4" s="1"/>
  <c r="AH7" i="4" s="1"/>
  <c r="AI7" i="4" s="1"/>
  <c r="AJ7" i="4" s="1"/>
  <c r="AK7" i="4" s="1"/>
  <c r="AL7" i="4" s="1"/>
  <c r="AM7" i="4" s="1"/>
  <c r="AN7" i="4" s="1"/>
  <c r="AD7" i="4"/>
  <c r="AQ7" i="4"/>
  <c r="AQ8" i="4"/>
  <c r="AG28" i="4"/>
  <c r="AG29" i="4" s="1"/>
  <c r="AH28" i="4"/>
  <c r="AH29" i="4" s="1"/>
  <c r="AM28" i="4"/>
  <c r="AM29" i="4" s="1"/>
  <c r="AJ28" i="4"/>
  <c r="AJ29" i="4" s="1"/>
  <c r="AR28" i="4"/>
  <c r="AR29" i="4" s="1"/>
  <c r="AK28" i="4"/>
  <c r="AK29" i="4" s="1"/>
  <c r="AE28" i="4"/>
  <c r="AE29" i="4" s="1"/>
  <c r="AF28" i="4"/>
  <c r="AF29" i="4" s="1"/>
  <c r="AN28" i="4"/>
  <c r="AN29" i="4" s="1"/>
  <c r="AO28" i="4"/>
  <c r="AO29" i="4" s="1"/>
  <c r="AI28" i="4"/>
  <c r="AI29" i="4" s="1"/>
  <c r="AQ28" i="4"/>
  <c r="AQ29" i="4" s="1"/>
  <c r="F14" i="4"/>
  <c r="BE31" i="4"/>
  <c r="AA32" i="4"/>
  <c r="AA8" i="4"/>
  <c r="AA10" i="4"/>
  <c r="AA12" i="4"/>
  <c r="Z11" i="4"/>
  <c r="Z9" i="4"/>
  <c r="AA24" i="4"/>
  <c r="AA46" i="4"/>
  <c r="AA47" i="4"/>
  <c r="AA50" i="4"/>
  <c r="AA54" i="4"/>
  <c r="AA55" i="4"/>
  <c r="AA56" i="4"/>
  <c r="I51" i="4"/>
  <c r="Q51" i="4"/>
  <c r="Q49" i="4"/>
  <c r="K49" i="4"/>
  <c r="S49" i="4"/>
  <c r="AA18" i="4"/>
  <c r="I49" i="4"/>
  <c r="R51" i="4"/>
  <c r="M48" i="4"/>
  <c r="N51" i="4"/>
  <c r="V51" i="4"/>
  <c r="V48" i="4"/>
  <c r="U48" i="4"/>
  <c r="Z14" i="4"/>
  <c r="AA16" i="4"/>
  <c r="Z18" i="4"/>
  <c r="O51" i="4"/>
  <c r="AA25" i="4"/>
  <c r="AA26" i="4"/>
  <c r="AA27" i="4"/>
  <c r="AA29" i="4"/>
  <c r="AA31" i="4"/>
  <c r="AA34" i="4"/>
  <c r="AA44" i="4"/>
  <c r="J51" i="4"/>
  <c r="Z53" i="4"/>
  <c r="AA35" i="4"/>
  <c r="AA37" i="4"/>
  <c r="AA38" i="4"/>
  <c r="Z39" i="4"/>
  <c r="AA40" i="4"/>
  <c r="AA41" i="4"/>
  <c r="AA43" i="4"/>
  <c r="AA45" i="4"/>
  <c r="AA11" i="4"/>
  <c r="AA14" i="4"/>
  <c r="M51" i="4"/>
  <c r="U51" i="4"/>
  <c r="O49" i="4"/>
  <c r="AA22" i="4"/>
  <c r="N48" i="4"/>
  <c r="AA7" i="4"/>
  <c r="Z22" i="4"/>
  <c r="Z24" i="4"/>
  <c r="Z44" i="4"/>
  <c r="AA20" i="4"/>
  <c r="P51" i="4"/>
  <c r="P48" i="4"/>
  <c r="AA23" i="4"/>
  <c r="N49" i="4"/>
  <c r="V49" i="4"/>
  <c r="R49" i="4"/>
  <c r="K51" i="4"/>
  <c r="S51" i="4"/>
  <c r="K48" i="4"/>
  <c r="S48" i="4"/>
  <c r="P49" i="4"/>
  <c r="Z32" i="4"/>
  <c r="Z26" i="4"/>
  <c r="J49" i="4"/>
  <c r="Z29" i="4"/>
  <c r="AA6" i="4"/>
  <c r="Z7" i="4"/>
  <c r="AA9" i="4"/>
  <c r="L51" i="4"/>
  <c r="T51" i="4"/>
  <c r="L48" i="4"/>
  <c r="T48" i="4"/>
  <c r="AA33" i="4"/>
  <c r="Z34" i="4"/>
  <c r="AA39" i="4"/>
  <c r="AA53" i="4"/>
  <c r="F51" i="4"/>
  <c r="F49" i="4"/>
  <c r="Y6" i="4"/>
  <c r="Y8" i="4"/>
  <c r="Y16" i="4"/>
  <c r="Y20" i="4"/>
  <c r="Y23" i="4"/>
  <c r="F48" i="4"/>
  <c r="O48" i="4"/>
  <c r="Y7" i="4"/>
  <c r="Y9" i="4"/>
  <c r="Y11" i="4"/>
  <c r="Y14" i="4"/>
  <c r="Y18" i="4"/>
  <c r="Y22" i="4"/>
  <c r="Y24" i="4"/>
  <c r="Y26" i="4"/>
  <c r="Y29" i="4"/>
  <c r="Y32" i="4"/>
  <c r="Y34" i="4"/>
  <c r="Y37" i="4"/>
  <c r="Y39" i="4"/>
  <c r="Y41" i="4"/>
  <c r="Y44" i="4"/>
  <c r="Y46" i="4"/>
  <c r="H48" i="4"/>
  <c r="L49" i="4"/>
  <c r="T49" i="4"/>
  <c r="Y50" i="4"/>
  <c r="Y53" i="4"/>
  <c r="Y55" i="4"/>
  <c r="Z37" i="4"/>
  <c r="Z41" i="4"/>
  <c r="Z46" i="4"/>
  <c r="I48" i="4"/>
  <c r="Q48" i="4"/>
  <c r="M49" i="4"/>
  <c r="U49" i="4"/>
  <c r="Z50" i="4"/>
  <c r="Z55" i="4"/>
  <c r="F46" i="4"/>
  <c r="J48" i="4"/>
  <c r="R48" i="4"/>
  <c r="Y12" i="4"/>
  <c r="F23" i="4"/>
  <c r="Y10" i="4"/>
  <c r="Y25" i="4"/>
  <c r="Y27" i="4"/>
  <c r="Y31" i="4"/>
  <c r="Y33" i="4"/>
  <c r="Y35" i="4"/>
  <c r="Y38" i="4"/>
  <c r="Y40" i="4"/>
  <c r="Y43" i="4"/>
  <c r="Y45" i="4"/>
  <c r="Y47" i="4"/>
  <c r="H49" i="4"/>
  <c r="H51" i="4"/>
  <c r="Y54" i="4"/>
  <c r="Y56" i="4"/>
  <c r="Z6" i="4"/>
  <c r="Z8" i="4"/>
  <c r="Z10" i="4"/>
  <c r="Z12" i="4"/>
  <c r="Z16" i="4"/>
  <c r="Z20" i="4"/>
  <c r="Z23" i="4"/>
  <c r="Z25" i="4"/>
  <c r="Z27" i="4"/>
  <c r="Z31" i="4"/>
  <c r="Z33" i="4"/>
  <c r="Z35" i="4"/>
  <c r="Z38" i="4"/>
  <c r="Z40" i="4"/>
  <c r="Z43" i="4"/>
  <c r="Z45" i="4"/>
  <c r="Z47" i="4"/>
  <c r="Z54" i="4"/>
  <c r="Z56" i="4"/>
  <c r="BQ41" i="4"/>
  <c r="BP41" i="4"/>
  <c r="BG41" i="4"/>
  <c r="BN29" i="4"/>
  <c r="BF29" i="4"/>
  <c r="BO41" i="4"/>
  <c r="BG27" i="4"/>
  <c r="BO27" i="4"/>
  <c r="BR41" i="4"/>
  <c r="BQ27" i="4"/>
  <c r="BR29" i="4"/>
  <c r="BI27" i="4"/>
  <c r="BH29" i="4"/>
  <c r="BH41" i="4"/>
  <c r="BP27" i="4"/>
  <c r="BH27" i="4"/>
  <c r="BO29" i="4"/>
  <c r="BG29" i="4"/>
  <c r="BK41" i="4"/>
  <c r="BK27" i="4"/>
  <c r="BR27" i="4"/>
  <c r="BL27" i="4"/>
  <c r="BK29" i="4"/>
  <c r="BJ41" i="4"/>
  <c r="BJ27" i="4"/>
  <c r="BI41" i="4"/>
  <c r="BP29" i="4"/>
  <c r="BM27" i="4"/>
  <c r="BL29" i="4"/>
  <c r="BF41" i="4"/>
  <c r="BF27" i="4"/>
  <c r="BN41" i="4"/>
  <c r="BN27" i="4"/>
  <c r="BM29" i="4"/>
  <c r="BE27" i="4"/>
  <c r="BJ29" i="4"/>
  <c r="BE41" i="4"/>
  <c r="BQ29" i="4"/>
  <c r="BI29" i="4"/>
  <c r="BM41" i="4"/>
  <c r="BL41" i="4"/>
  <c r="BE29" i="4"/>
  <c r="BS9" i="4"/>
  <c r="BS8" i="4"/>
  <c r="BS43" i="4"/>
  <c r="BS34" i="4"/>
  <c r="BS14" i="4"/>
  <c r="BS23" i="4"/>
  <c r="BS35" i="4"/>
  <c r="BS33" i="4"/>
  <c r="BS32" i="4"/>
  <c r="BE26" i="4"/>
  <c r="BS26" i="4"/>
  <c r="BS25" i="4"/>
  <c r="BS24" i="4"/>
  <c r="BS22" i="4"/>
  <c r="BS18" i="4"/>
  <c r="BS16" i="4"/>
  <c r="BS11" i="4"/>
  <c r="AE11" i="4" l="1"/>
  <c r="AF8" i="4"/>
  <c r="AF10" i="4" s="1"/>
  <c r="AE13" i="4"/>
  <c r="AE9" i="4"/>
  <c r="AE12" i="4"/>
  <c r="AS29" i="4"/>
  <c r="AS32" i="4"/>
  <c r="AF13" i="4"/>
  <c r="AG8" i="4"/>
  <c r="AF11" i="4"/>
  <c r="AF9" i="4"/>
  <c r="AQ11" i="4"/>
  <c r="AD5" i="4" s="1"/>
  <c r="X27" i="4"/>
  <c r="AA51" i="4"/>
  <c r="Z51" i="4"/>
  <c r="Y51" i="4"/>
  <c r="AA48" i="4"/>
  <c r="Z48" i="4"/>
  <c r="Y48" i="4"/>
  <c r="X29" i="4"/>
  <c r="AA49" i="4"/>
  <c r="Z49" i="4"/>
  <c r="Y49" i="4"/>
  <c r="X41" i="4"/>
  <c r="BP51" i="4"/>
  <c r="BJ51" i="4"/>
  <c r="BH51" i="4"/>
  <c r="BO51" i="4"/>
  <c r="BG51" i="4"/>
  <c r="BM51" i="4"/>
  <c r="BN51" i="4"/>
  <c r="BL51" i="4"/>
  <c r="BK51" i="4"/>
  <c r="BF51" i="4"/>
  <c r="BQ51" i="4"/>
  <c r="BI51" i="4"/>
  <c r="BS20" i="4"/>
  <c r="BS51" i="4"/>
  <c r="BI22" i="4"/>
  <c r="BO24" i="4"/>
  <c r="BG24" i="4"/>
  <c r="BM25" i="4"/>
  <c r="BK26" i="4"/>
  <c r="BL32" i="4"/>
  <c r="BK33" i="4"/>
  <c r="BK35" i="4"/>
  <c r="BQ23" i="4"/>
  <c r="BI23" i="4"/>
  <c r="BO16" i="4"/>
  <c r="BQ20" i="4"/>
  <c r="BK25" i="4"/>
  <c r="BG22" i="4"/>
  <c r="BI26" i="4"/>
  <c r="BR32" i="4"/>
  <c r="BJ32" i="4"/>
  <c r="BQ33" i="4"/>
  <c r="BM43" i="4"/>
  <c r="BM8" i="4"/>
  <c r="BK9" i="4"/>
  <c r="BN18" i="4"/>
  <c r="BF18" i="4"/>
  <c r="BM24" i="4"/>
  <c r="BK8" i="4"/>
  <c r="BQ9" i="4"/>
  <c r="BI9" i="4"/>
  <c r="BG16" i="4"/>
  <c r="BI20" i="4"/>
  <c r="BQ26" i="4"/>
  <c r="BO22" i="4"/>
  <c r="BL18" i="4"/>
  <c r="BO20" i="4"/>
  <c r="BQ25" i="4"/>
  <c r="BO33" i="4"/>
  <c r="BK24" i="4"/>
  <c r="BH32" i="4"/>
  <c r="BM23" i="4"/>
  <c r="BL14" i="4"/>
  <c r="BK34" i="4"/>
  <c r="BK43" i="4"/>
  <c r="BP32" i="4"/>
  <c r="BG26" i="4"/>
  <c r="BG35" i="4"/>
  <c r="BM16" i="4"/>
  <c r="BM22" i="4"/>
  <c r="BO26" i="4"/>
  <c r="BG33" i="4"/>
  <c r="BG20" i="4"/>
  <c r="BI25" i="4"/>
  <c r="BO35" i="4"/>
  <c r="BI16" i="4"/>
  <c r="BH18" i="4"/>
  <c r="BP18" i="4"/>
  <c r="BK20" i="4"/>
  <c r="BI33" i="4"/>
  <c r="BQ35" i="4"/>
  <c r="BI35" i="4"/>
  <c r="BO23" i="4"/>
  <c r="BG23" i="4"/>
  <c r="BN14" i="4"/>
  <c r="BF14" i="4"/>
  <c r="BM34" i="4"/>
  <c r="BQ16" i="4"/>
  <c r="BQ22" i="4"/>
  <c r="BE43" i="4"/>
  <c r="BN16" i="4"/>
  <c r="BF16" i="4"/>
  <c r="BM18" i="4"/>
  <c r="BE18" i="4"/>
  <c r="BP20" i="4"/>
  <c r="BH20" i="4"/>
  <c r="BN22" i="4"/>
  <c r="BF22" i="4"/>
  <c r="BL24" i="4"/>
  <c r="BR25" i="4"/>
  <c r="BJ25" i="4"/>
  <c r="BP26" i="4"/>
  <c r="BH26" i="4"/>
  <c r="BQ32" i="4"/>
  <c r="BI32" i="4"/>
  <c r="BP33" i="4"/>
  <c r="BH33" i="4"/>
  <c r="BP35" i="4"/>
  <c r="BH35" i="4"/>
  <c r="BN23" i="4"/>
  <c r="BF23" i="4"/>
  <c r="BM14" i="4"/>
  <c r="BE14" i="4"/>
  <c r="BL34" i="4"/>
  <c r="BE34" i="4"/>
  <c r="BL43" i="4"/>
  <c r="BL8" i="4"/>
  <c r="BR9" i="4"/>
  <c r="BJ9" i="4"/>
  <c r="BE24" i="4"/>
  <c r="BE23" i="4"/>
  <c r="BL22" i="4"/>
  <c r="BF33" i="4"/>
  <c r="BH9" i="4"/>
  <c r="BF20" i="4"/>
  <c r="BG32" i="4"/>
  <c r="BR43" i="4"/>
  <c r="BJ18" i="4"/>
  <c r="BJ14" i="4"/>
  <c r="BQ34" i="4"/>
  <c r="BI34" i="4"/>
  <c r="BQ43" i="4"/>
  <c r="BI43" i="4"/>
  <c r="BQ8" i="4"/>
  <c r="BI8" i="4"/>
  <c r="BO9" i="4"/>
  <c r="BG9" i="4"/>
  <c r="BN20" i="4"/>
  <c r="BP25" i="4"/>
  <c r="BF26" i="4"/>
  <c r="BN35" i="4"/>
  <c r="BK14" i="4"/>
  <c r="BJ43" i="4"/>
  <c r="BP9" i="4"/>
  <c r="BR18" i="4"/>
  <c r="BE25" i="4"/>
  <c r="BK22" i="4"/>
  <c r="BO25" i="4"/>
  <c r="BN32" i="4"/>
  <c r="BM33" i="4"/>
  <c r="BR14" i="4"/>
  <c r="BR16" i="4"/>
  <c r="BJ16" i="4"/>
  <c r="BQ18" i="4"/>
  <c r="BI18" i="4"/>
  <c r="BE20" i="4"/>
  <c r="BL20" i="4"/>
  <c r="BR22" i="4"/>
  <c r="BJ22" i="4"/>
  <c r="BP24" i="4"/>
  <c r="BH24" i="4"/>
  <c r="BN25" i="4"/>
  <c r="BF25" i="4"/>
  <c r="BL26" i="4"/>
  <c r="BE32" i="4"/>
  <c r="BM32" i="4"/>
  <c r="BE33" i="4"/>
  <c r="BL33" i="4"/>
  <c r="BE35" i="4"/>
  <c r="BL35" i="4"/>
  <c r="BR23" i="4"/>
  <c r="BJ23" i="4"/>
  <c r="BQ14" i="4"/>
  <c r="BI14" i="4"/>
  <c r="BP34" i="4"/>
  <c r="BH34" i="4"/>
  <c r="BP43" i="4"/>
  <c r="BH43" i="4"/>
  <c r="BP8" i="4"/>
  <c r="BH8" i="4"/>
  <c r="BN9" i="4"/>
  <c r="BF9" i="4"/>
  <c r="BL16" i="4"/>
  <c r="BK18" i="4"/>
  <c r="BR24" i="4"/>
  <c r="BH25" i="4"/>
  <c r="BO32" i="4"/>
  <c r="BF35" i="4"/>
  <c r="BL23" i="4"/>
  <c r="BR34" i="4"/>
  <c r="BJ8" i="4"/>
  <c r="BI24" i="4"/>
  <c r="BM26" i="4"/>
  <c r="BP14" i="4"/>
  <c r="BH14" i="4"/>
  <c r="BO34" i="4"/>
  <c r="BG34" i="4"/>
  <c r="BO43" i="4"/>
  <c r="BG43" i="4"/>
  <c r="BO8" i="4"/>
  <c r="BG8" i="4"/>
  <c r="BM9" i="4"/>
  <c r="BE16" i="4"/>
  <c r="BE22" i="4"/>
  <c r="BJ24" i="4"/>
  <c r="BN26" i="4"/>
  <c r="BN33" i="4"/>
  <c r="BJ34" i="4"/>
  <c r="BR8" i="4"/>
  <c r="BK16" i="4"/>
  <c r="BM20" i="4"/>
  <c r="BQ24" i="4"/>
  <c r="BG25" i="4"/>
  <c r="BF32" i="4"/>
  <c r="BM35" i="4"/>
  <c r="BK23" i="4"/>
  <c r="BP16" i="4"/>
  <c r="BH16" i="4"/>
  <c r="BO18" i="4"/>
  <c r="BG18" i="4"/>
  <c r="BR20" i="4"/>
  <c r="BJ20" i="4"/>
  <c r="BP22" i="4"/>
  <c r="BH22" i="4"/>
  <c r="BN24" i="4"/>
  <c r="BF24" i="4"/>
  <c r="BL25" i="4"/>
  <c r="BR26" i="4"/>
  <c r="BJ26" i="4"/>
  <c r="BK32" i="4"/>
  <c r="BR33" i="4"/>
  <c r="BJ33" i="4"/>
  <c r="BR35" i="4"/>
  <c r="BJ35" i="4"/>
  <c r="BP23" i="4"/>
  <c r="BH23" i="4"/>
  <c r="BO14" i="4"/>
  <c r="BG14" i="4"/>
  <c r="BN34" i="4"/>
  <c r="BF34" i="4"/>
  <c r="BN43" i="4"/>
  <c r="BF43" i="4"/>
  <c r="BN8" i="4"/>
  <c r="BF8" i="4"/>
  <c r="BL9" i="4"/>
  <c r="BE9" i="4"/>
  <c r="B29" i="4"/>
  <c r="BS7" i="4"/>
  <c r="BR11" i="4"/>
  <c r="BS12" i="4"/>
  <c r="BS56" i="4"/>
  <c r="BS37" i="4"/>
  <c r="BS38" i="4"/>
  <c r="BS39" i="4"/>
  <c r="BS40" i="4"/>
  <c r="BS53" i="4"/>
  <c r="BS54" i="4"/>
  <c r="BS55" i="4"/>
  <c r="BS44" i="4"/>
  <c r="BS45" i="4"/>
  <c r="BS46" i="4"/>
  <c r="BS47" i="4"/>
  <c r="BS50" i="4"/>
  <c r="BS6" i="4"/>
  <c r="E36" i="7"/>
  <c r="F36" i="7"/>
  <c r="G36" i="7"/>
  <c r="H36" i="7"/>
  <c r="I36" i="7"/>
  <c r="J36" i="7"/>
  <c r="K36" i="7"/>
  <c r="L36" i="7"/>
  <c r="M36" i="7"/>
  <c r="N36" i="7"/>
  <c r="O36" i="7"/>
  <c r="P36" i="7"/>
  <c r="Q36" i="7"/>
  <c r="R36" i="7"/>
  <c r="S36" i="7"/>
  <c r="T36" i="7"/>
  <c r="U36" i="7"/>
  <c r="V36" i="7"/>
  <c r="W36" i="7"/>
  <c r="X36" i="7"/>
  <c r="E35" i="7"/>
  <c r="F16" i="7"/>
  <c r="G16" i="7"/>
  <c r="H16" i="7"/>
  <c r="I16" i="7"/>
  <c r="J16" i="7"/>
  <c r="K16" i="7"/>
  <c r="L16" i="7"/>
  <c r="M16" i="7"/>
  <c r="N16" i="7"/>
  <c r="O16" i="7"/>
  <c r="P16" i="7"/>
  <c r="Q16" i="7"/>
  <c r="R16" i="7"/>
  <c r="S16" i="7"/>
  <c r="T16" i="7"/>
  <c r="U16" i="7"/>
  <c r="V16" i="7"/>
  <c r="W16" i="7"/>
  <c r="X16" i="7"/>
  <c r="E16" i="7"/>
  <c r="F23" i="7"/>
  <c r="G23" i="7"/>
  <c r="H23" i="7"/>
  <c r="I23" i="7"/>
  <c r="J23" i="7"/>
  <c r="K23" i="7"/>
  <c r="L23" i="7"/>
  <c r="M23" i="7"/>
  <c r="N23" i="7"/>
  <c r="O23" i="7"/>
  <c r="P23" i="7"/>
  <c r="Q23" i="7"/>
  <c r="R23" i="7"/>
  <c r="S23" i="7"/>
  <c r="T23" i="7"/>
  <c r="U23" i="7"/>
  <c r="V23" i="7"/>
  <c r="W23" i="7"/>
  <c r="X23" i="7"/>
  <c r="E23" i="7"/>
  <c r="F35" i="7"/>
  <c r="G35" i="7"/>
  <c r="H35" i="7"/>
  <c r="I35" i="7"/>
  <c r="J35" i="7"/>
  <c r="K35" i="7"/>
  <c r="L35" i="7"/>
  <c r="M35" i="7"/>
  <c r="N35" i="7"/>
  <c r="O35" i="7"/>
  <c r="P35" i="7"/>
  <c r="Q35" i="7"/>
  <c r="R35" i="7"/>
  <c r="S35" i="7"/>
  <c r="T35" i="7"/>
  <c r="U35" i="7"/>
  <c r="V35" i="7"/>
  <c r="W35" i="7"/>
  <c r="X35" i="7"/>
  <c r="F34" i="7"/>
  <c r="G34" i="7"/>
  <c r="H34" i="7"/>
  <c r="I34" i="7"/>
  <c r="J34" i="7"/>
  <c r="K34" i="7"/>
  <c r="L34" i="7"/>
  <c r="M34" i="7"/>
  <c r="N34" i="7"/>
  <c r="O34" i="7"/>
  <c r="P34" i="7"/>
  <c r="Q34" i="7"/>
  <c r="R34" i="7"/>
  <c r="S34" i="7"/>
  <c r="T34" i="7"/>
  <c r="U34" i="7"/>
  <c r="V34" i="7"/>
  <c r="W34" i="7"/>
  <c r="X34" i="7"/>
  <c r="E34" i="7"/>
  <c r="F33" i="7"/>
  <c r="G33" i="7"/>
  <c r="H33" i="7"/>
  <c r="I33" i="7"/>
  <c r="J33" i="7"/>
  <c r="K33" i="7"/>
  <c r="L33" i="7"/>
  <c r="M33" i="7"/>
  <c r="N33" i="7"/>
  <c r="O33" i="7"/>
  <c r="P33" i="7"/>
  <c r="Q33" i="7"/>
  <c r="R33" i="7"/>
  <c r="S33" i="7"/>
  <c r="T33" i="7"/>
  <c r="U33" i="7"/>
  <c r="V33" i="7"/>
  <c r="W33" i="7"/>
  <c r="X33" i="7"/>
  <c r="E33" i="7"/>
  <c r="F32" i="7"/>
  <c r="G32" i="7"/>
  <c r="H32" i="7"/>
  <c r="I32" i="7"/>
  <c r="J32" i="7"/>
  <c r="K32" i="7"/>
  <c r="L32" i="7"/>
  <c r="M32" i="7"/>
  <c r="N32" i="7"/>
  <c r="O32" i="7"/>
  <c r="P32" i="7"/>
  <c r="Q32" i="7"/>
  <c r="R32" i="7"/>
  <c r="S32" i="7"/>
  <c r="T32" i="7"/>
  <c r="U32" i="7"/>
  <c r="V32" i="7"/>
  <c r="W32" i="7"/>
  <c r="X32" i="7"/>
  <c r="E32" i="7"/>
  <c r="F30" i="7"/>
  <c r="G30" i="7"/>
  <c r="H30" i="7"/>
  <c r="I30" i="7"/>
  <c r="J30" i="7"/>
  <c r="K30" i="7"/>
  <c r="L30" i="7"/>
  <c r="M30" i="7"/>
  <c r="N30" i="7"/>
  <c r="O30" i="7"/>
  <c r="P30" i="7"/>
  <c r="Q30" i="7"/>
  <c r="R30" i="7"/>
  <c r="S30" i="7"/>
  <c r="T30" i="7"/>
  <c r="U30" i="7"/>
  <c r="V30" i="7"/>
  <c r="W30" i="7"/>
  <c r="X30" i="7"/>
  <c r="E30" i="7"/>
  <c r="F29" i="7"/>
  <c r="G29" i="7"/>
  <c r="H29" i="7"/>
  <c r="I29" i="7"/>
  <c r="J29" i="7"/>
  <c r="K29" i="7"/>
  <c r="L29" i="7"/>
  <c r="M29" i="7"/>
  <c r="N29" i="7"/>
  <c r="O29" i="7"/>
  <c r="P29" i="7"/>
  <c r="Q29" i="7"/>
  <c r="R29" i="7"/>
  <c r="S29" i="7"/>
  <c r="T29" i="7"/>
  <c r="U29" i="7"/>
  <c r="V29" i="7"/>
  <c r="W29" i="7"/>
  <c r="X29" i="7"/>
  <c r="E29" i="7"/>
  <c r="F28" i="7"/>
  <c r="G28" i="7"/>
  <c r="H28" i="7"/>
  <c r="I28" i="7"/>
  <c r="J28" i="7"/>
  <c r="K28" i="7"/>
  <c r="L28" i="7"/>
  <c r="M28" i="7"/>
  <c r="N28" i="7"/>
  <c r="O28" i="7"/>
  <c r="P28" i="7"/>
  <c r="Q28" i="7"/>
  <c r="R28" i="7"/>
  <c r="S28" i="7"/>
  <c r="T28" i="7"/>
  <c r="U28" i="7"/>
  <c r="V28" i="7"/>
  <c r="W28" i="7"/>
  <c r="X28" i="7"/>
  <c r="E28" i="7"/>
  <c r="F26" i="7"/>
  <c r="G26" i="7"/>
  <c r="H26" i="7"/>
  <c r="I26" i="7"/>
  <c r="J26" i="7"/>
  <c r="K26" i="7"/>
  <c r="L26" i="7"/>
  <c r="M26" i="7"/>
  <c r="N26" i="7"/>
  <c r="O26" i="7"/>
  <c r="P26" i="7"/>
  <c r="Q26" i="7"/>
  <c r="R26" i="7"/>
  <c r="S26" i="7"/>
  <c r="T26" i="7"/>
  <c r="U26" i="7"/>
  <c r="V26" i="7"/>
  <c r="W26" i="7"/>
  <c r="X26" i="7"/>
  <c r="E26" i="7"/>
  <c r="F25" i="7"/>
  <c r="G25" i="7"/>
  <c r="H25" i="7"/>
  <c r="I25" i="7"/>
  <c r="J25" i="7"/>
  <c r="K25" i="7"/>
  <c r="L25" i="7"/>
  <c r="M25" i="7"/>
  <c r="N25" i="7"/>
  <c r="O25" i="7"/>
  <c r="P25" i="7"/>
  <c r="Q25" i="7"/>
  <c r="R25" i="7"/>
  <c r="S25" i="7"/>
  <c r="T25" i="7"/>
  <c r="U25" i="7"/>
  <c r="V25" i="7"/>
  <c r="W25" i="7"/>
  <c r="X25" i="7"/>
  <c r="E25" i="7"/>
  <c r="F22" i="7"/>
  <c r="G22" i="7"/>
  <c r="H22" i="7"/>
  <c r="I22" i="7"/>
  <c r="J22" i="7"/>
  <c r="K22" i="7"/>
  <c r="L22" i="7"/>
  <c r="M22" i="7"/>
  <c r="N22" i="7"/>
  <c r="O22" i="7"/>
  <c r="P22" i="7"/>
  <c r="Q22" i="7"/>
  <c r="R22" i="7"/>
  <c r="S22" i="7"/>
  <c r="T22" i="7"/>
  <c r="U22" i="7"/>
  <c r="V22" i="7"/>
  <c r="W22" i="7"/>
  <c r="X22" i="7"/>
  <c r="E22" i="7"/>
  <c r="G21" i="7"/>
  <c r="H21" i="7"/>
  <c r="I21" i="7"/>
  <c r="J21" i="7"/>
  <c r="K21" i="7"/>
  <c r="L21" i="7"/>
  <c r="M21" i="7"/>
  <c r="N21" i="7"/>
  <c r="O21" i="7"/>
  <c r="P21" i="7"/>
  <c r="Q21" i="7"/>
  <c r="R21" i="7"/>
  <c r="S21" i="7"/>
  <c r="T21" i="7"/>
  <c r="U21" i="7"/>
  <c r="V21" i="7"/>
  <c r="W21" i="7"/>
  <c r="X21" i="7"/>
  <c r="F21" i="7"/>
  <c r="E21" i="7"/>
  <c r="F20" i="7"/>
  <c r="G20" i="7"/>
  <c r="H20" i="7"/>
  <c r="I20" i="7"/>
  <c r="J20" i="7"/>
  <c r="K20" i="7"/>
  <c r="L20" i="7"/>
  <c r="M20" i="7"/>
  <c r="N20" i="7"/>
  <c r="O20" i="7"/>
  <c r="P20" i="7"/>
  <c r="Q20" i="7"/>
  <c r="R20" i="7"/>
  <c r="S20" i="7"/>
  <c r="T20" i="7"/>
  <c r="U20" i="7"/>
  <c r="V20" i="7"/>
  <c r="W20" i="7"/>
  <c r="X20" i="7"/>
  <c r="E20" i="7"/>
  <c r="F19" i="7"/>
  <c r="G19" i="7"/>
  <c r="H19" i="7"/>
  <c r="I19" i="7"/>
  <c r="J19" i="7"/>
  <c r="K19" i="7"/>
  <c r="L19" i="7"/>
  <c r="M19" i="7"/>
  <c r="N19" i="7"/>
  <c r="O19" i="7"/>
  <c r="P19" i="7"/>
  <c r="Q19" i="7"/>
  <c r="R19" i="7"/>
  <c r="S19" i="7"/>
  <c r="T19" i="7"/>
  <c r="U19" i="7"/>
  <c r="V19" i="7"/>
  <c r="W19" i="7"/>
  <c r="X19" i="7"/>
  <c r="E19" i="7"/>
  <c r="F18" i="7"/>
  <c r="G18" i="7"/>
  <c r="H18" i="7"/>
  <c r="I18" i="7"/>
  <c r="J18" i="7"/>
  <c r="K18" i="7"/>
  <c r="L18" i="7"/>
  <c r="M18" i="7"/>
  <c r="N18" i="7"/>
  <c r="O18" i="7"/>
  <c r="P18" i="7"/>
  <c r="Q18" i="7"/>
  <c r="R18" i="7"/>
  <c r="S18" i="7"/>
  <c r="T18" i="7"/>
  <c r="U18" i="7"/>
  <c r="V18" i="7"/>
  <c r="W18" i="7"/>
  <c r="X18" i="7"/>
  <c r="E18" i="7"/>
  <c r="E15" i="7"/>
  <c r="F7" i="7"/>
  <c r="G7" i="7"/>
  <c r="H7" i="7"/>
  <c r="I7" i="7"/>
  <c r="J7" i="7"/>
  <c r="K7" i="7"/>
  <c r="L7" i="7"/>
  <c r="M7" i="7"/>
  <c r="N7" i="7"/>
  <c r="O7" i="7"/>
  <c r="P7" i="7"/>
  <c r="Q7" i="7"/>
  <c r="R7" i="7"/>
  <c r="S7" i="7"/>
  <c r="T7" i="7"/>
  <c r="U7" i="7"/>
  <c r="V7" i="7"/>
  <c r="W7" i="7"/>
  <c r="X7" i="7"/>
  <c r="F15" i="7"/>
  <c r="G15" i="7"/>
  <c r="H15" i="7"/>
  <c r="I15" i="7"/>
  <c r="J15" i="7"/>
  <c r="K15" i="7"/>
  <c r="L15" i="7"/>
  <c r="M15" i="7"/>
  <c r="N15" i="7"/>
  <c r="O15" i="7"/>
  <c r="P15" i="7"/>
  <c r="Q15" i="7"/>
  <c r="R15" i="7"/>
  <c r="S15" i="7"/>
  <c r="T15" i="7"/>
  <c r="U15" i="7"/>
  <c r="V15" i="7"/>
  <c r="W15" i="7"/>
  <c r="X15" i="7"/>
  <c r="F14" i="7"/>
  <c r="G14" i="7"/>
  <c r="H14" i="7"/>
  <c r="I14" i="7"/>
  <c r="J14" i="7"/>
  <c r="K14" i="7"/>
  <c r="L14" i="7"/>
  <c r="M14" i="7"/>
  <c r="N14" i="7"/>
  <c r="O14" i="7"/>
  <c r="P14" i="7"/>
  <c r="Q14" i="7"/>
  <c r="R14" i="7"/>
  <c r="S14" i="7"/>
  <c r="T14" i="7"/>
  <c r="U14" i="7"/>
  <c r="V14" i="7"/>
  <c r="W14" i="7"/>
  <c r="X14" i="7"/>
  <c r="E14" i="7"/>
  <c r="F13" i="7"/>
  <c r="G13" i="7"/>
  <c r="H13" i="7"/>
  <c r="I13" i="7"/>
  <c r="J13" i="7"/>
  <c r="K13" i="7"/>
  <c r="L13" i="7"/>
  <c r="M13" i="7"/>
  <c r="N13" i="7"/>
  <c r="O13" i="7"/>
  <c r="P13" i="7"/>
  <c r="Q13" i="7"/>
  <c r="R13" i="7"/>
  <c r="S13" i="7"/>
  <c r="T13" i="7"/>
  <c r="U13" i="7"/>
  <c r="V13" i="7"/>
  <c r="W13" i="7"/>
  <c r="X13" i="7"/>
  <c r="E13" i="7"/>
  <c r="F12" i="7"/>
  <c r="G12" i="7"/>
  <c r="H12" i="7"/>
  <c r="I12" i="7"/>
  <c r="J12" i="7"/>
  <c r="K12" i="7"/>
  <c r="L12" i="7"/>
  <c r="M12" i="7"/>
  <c r="N12" i="7"/>
  <c r="O12" i="7"/>
  <c r="P12" i="7"/>
  <c r="Q12" i="7"/>
  <c r="R12" i="7"/>
  <c r="S12" i="7"/>
  <c r="T12" i="7"/>
  <c r="U12" i="7"/>
  <c r="V12" i="7"/>
  <c r="W12" i="7"/>
  <c r="X12" i="7"/>
  <c r="E12" i="7"/>
  <c r="F11" i="7"/>
  <c r="G11" i="7"/>
  <c r="H11" i="7"/>
  <c r="I11" i="7"/>
  <c r="J11" i="7"/>
  <c r="K11" i="7"/>
  <c r="L11" i="7"/>
  <c r="M11" i="7"/>
  <c r="N11" i="7"/>
  <c r="O11" i="7"/>
  <c r="P11" i="7"/>
  <c r="Q11" i="7"/>
  <c r="R11" i="7"/>
  <c r="S11" i="7"/>
  <c r="T11" i="7"/>
  <c r="U11" i="7"/>
  <c r="V11" i="7"/>
  <c r="W11" i="7"/>
  <c r="X11" i="7"/>
  <c r="E11" i="7"/>
  <c r="F10" i="7"/>
  <c r="G10" i="7"/>
  <c r="H10" i="7"/>
  <c r="I10" i="7"/>
  <c r="J10" i="7"/>
  <c r="K10" i="7"/>
  <c r="L10" i="7"/>
  <c r="M10" i="7"/>
  <c r="N10" i="7"/>
  <c r="O10" i="7"/>
  <c r="P10" i="7"/>
  <c r="Q10" i="7"/>
  <c r="R10" i="7"/>
  <c r="S10" i="7"/>
  <c r="T10" i="7"/>
  <c r="U10" i="7"/>
  <c r="V10" i="7"/>
  <c r="W10" i="7"/>
  <c r="X10" i="7"/>
  <c r="E10" i="7"/>
  <c r="F9" i="7"/>
  <c r="G9" i="7"/>
  <c r="H9" i="7"/>
  <c r="I9" i="7"/>
  <c r="J9" i="7"/>
  <c r="K9" i="7"/>
  <c r="L9" i="7"/>
  <c r="M9" i="7"/>
  <c r="N9" i="7"/>
  <c r="O9" i="7"/>
  <c r="P9" i="7"/>
  <c r="Q9" i="7"/>
  <c r="R9" i="7"/>
  <c r="S9" i="7"/>
  <c r="T9" i="7"/>
  <c r="U9" i="7"/>
  <c r="V9" i="7"/>
  <c r="W9" i="7"/>
  <c r="X9" i="7"/>
  <c r="E9" i="7"/>
  <c r="E7" i="7"/>
  <c r="G8" i="7"/>
  <c r="H8" i="7"/>
  <c r="I8" i="7"/>
  <c r="J8" i="7"/>
  <c r="K8" i="7"/>
  <c r="L8" i="7"/>
  <c r="M8" i="7"/>
  <c r="N8" i="7"/>
  <c r="O8" i="7"/>
  <c r="P8" i="7"/>
  <c r="Q8" i="7"/>
  <c r="R8" i="7"/>
  <c r="S8" i="7"/>
  <c r="T8" i="7"/>
  <c r="U8" i="7"/>
  <c r="V8" i="7"/>
  <c r="W8" i="7"/>
  <c r="X8" i="7"/>
  <c r="F8" i="7"/>
  <c r="E8" i="7"/>
  <c r="E6" i="7"/>
  <c r="X6" i="7"/>
  <c r="F6" i="7"/>
  <c r="G6" i="7"/>
  <c r="H6" i="7"/>
  <c r="I6" i="7"/>
  <c r="J6" i="7"/>
  <c r="K6" i="7"/>
  <c r="L6" i="7"/>
  <c r="M6" i="7"/>
  <c r="N6" i="7"/>
  <c r="O6" i="7"/>
  <c r="P6" i="7"/>
  <c r="Q6" i="7"/>
  <c r="R6" i="7"/>
  <c r="S6" i="7"/>
  <c r="T6" i="7"/>
  <c r="U6" i="7"/>
  <c r="V6" i="7"/>
  <c r="W6" i="7"/>
  <c r="X4" i="7"/>
  <c r="W4" i="7"/>
  <c r="U4" i="7"/>
  <c r="V4" i="7"/>
  <c r="F4" i="7"/>
  <c r="G4" i="7"/>
  <c r="H4" i="7"/>
  <c r="I4" i="7"/>
  <c r="J4" i="7"/>
  <c r="K4" i="7"/>
  <c r="L4" i="7"/>
  <c r="M4" i="7"/>
  <c r="N4" i="7"/>
  <c r="O4" i="7"/>
  <c r="P4" i="7"/>
  <c r="Q4" i="7"/>
  <c r="R4" i="7"/>
  <c r="S4" i="7"/>
  <c r="T4" i="7"/>
  <c r="E4" i="7"/>
  <c r="B11" i="4"/>
  <c r="B10" i="4"/>
  <c r="B12" i="4"/>
  <c r="B13" i="4"/>
  <c r="B14" i="4"/>
  <c r="B15" i="4"/>
  <c r="B16" i="4"/>
  <c r="B17" i="4"/>
  <c r="B18" i="4"/>
  <c r="B19" i="4"/>
  <c r="B21" i="4"/>
  <c r="B22" i="4"/>
  <c r="B23" i="4"/>
  <c r="F47" i="4" s="1"/>
  <c r="B24" i="4"/>
  <c r="B25" i="4"/>
  <c r="B26" i="4"/>
  <c r="F50" i="4" s="1"/>
  <c r="B30" i="4"/>
  <c r="B31" i="4"/>
  <c r="B32" i="4"/>
  <c r="B33" i="4"/>
  <c r="B34" i="4"/>
  <c r="B27" i="4"/>
  <c r="B9" i="4"/>
  <c r="AF12" i="4" l="1"/>
  <c r="AG10" i="4"/>
  <c r="AG9" i="4"/>
  <c r="AG12" i="4"/>
  <c r="AG13" i="4"/>
  <c r="AH8" i="4"/>
  <c r="AE15" i="4"/>
  <c r="AE17" i="4" s="1"/>
  <c r="E2" i="7"/>
  <c r="X32" i="4"/>
  <c r="X35" i="4"/>
  <c r="X26" i="4"/>
  <c r="X23" i="4"/>
  <c r="X16" i="4"/>
  <c r="X22" i="4"/>
  <c r="X20" i="4"/>
  <c r="X34" i="4"/>
  <c r="X25" i="4"/>
  <c r="X43" i="4"/>
  <c r="X14" i="4"/>
  <c r="X33" i="4"/>
  <c r="X24" i="4"/>
  <c r="X9" i="4"/>
  <c r="X18" i="4"/>
  <c r="BE6" i="4"/>
  <c r="BE51" i="4"/>
  <c r="X51" i="4" s="1"/>
  <c r="BR51" i="4"/>
  <c r="BM6" i="4"/>
  <c r="BJ6" i="4"/>
  <c r="BG55" i="4"/>
  <c r="BM54" i="4"/>
  <c r="BK53" i="4"/>
  <c r="BQ40" i="4"/>
  <c r="BI40" i="4"/>
  <c r="BO39" i="4"/>
  <c r="BG39" i="4"/>
  <c r="BM38" i="4"/>
  <c r="BK45" i="4"/>
  <c r="BQ44" i="4"/>
  <c r="BO55" i="4"/>
  <c r="BQ50" i="4"/>
  <c r="BI44" i="4"/>
  <c r="BI50" i="4"/>
  <c r="BO47" i="4"/>
  <c r="BH6" i="4"/>
  <c r="BP6" i="4"/>
  <c r="BM46" i="4"/>
  <c r="BQ7" i="4"/>
  <c r="BI7" i="4"/>
  <c r="BG47" i="4"/>
  <c r="BG6" i="4"/>
  <c r="BO6" i="4"/>
  <c r="BR50" i="4"/>
  <c r="BJ50" i="4"/>
  <c r="BP47" i="4"/>
  <c r="BH47" i="4"/>
  <c r="BN46" i="4"/>
  <c r="BF46" i="4"/>
  <c r="BL45" i="4"/>
  <c r="BR44" i="4"/>
  <c r="BJ44" i="4"/>
  <c r="BP55" i="4"/>
  <c r="BH55" i="4"/>
  <c r="BN54" i="4"/>
  <c r="BF54" i="4"/>
  <c r="BL53" i="4"/>
  <c r="BR40" i="4"/>
  <c r="BJ40" i="4"/>
  <c r="BP39" i="4"/>
  <c r="BH39" i="4"/>
  <c r="BN38" i="4"/>
  <c r="BF38" i="4"/>
  <c r="BL37" i="4"/>
  <c r="BP56" i="4"/>
  <c r="BH56" i="4"/>
  <c r="BN12" i="4"/>
  <c r="BF12" i="4"/>
  <c r="BK11" i="4"/>
  <c r="BO7" i="4"/>
  <c r="BG7" i="4"/>
  <c r="BK37" i="4"/>
  <c r="BO56" i="4"/>
  <c r="BG56" i="4"/>
  <c r="BM12" i="4"/>
  <c r="BJ11" i="4"/>
  <c r="BN7" i="4"/>
  <c r="BF7" i="4"/>
  <c r="BE45" i="4"/>
  <c r="BE37" i="4"/>
  <c r="BF47" i="4"/>
  <c r="BH44" i="4"/>
  <c r="BL54" i="4"/>
  <c r="BE11" i="4"/>
  <c r="BG44" i="4"/>
  <c r="BI53" i="4"/>
  <c r="BQ37" i="4"/>
  <c r="BL47" i="4"/>
  <c r="BE47" i="4"/>
  <c r="BE38" i="4"/>
  <c r="BR31" i="4"/>
  <c r="BJ31" i="4"/>
  <c r="BQ10" i="4"/>
  <c r="BI10" i="4"/>
  <c r="BL6" i="4"/>
  <c r="BE12" i="4"/>
  <c r="BE50" i="4"/>
  <c r="BQ31" i="4"/>
  <c r="BI31" i="4"/>
  <c r="BP10" i="4"/>
  <c r="BH10" i="4"/>
  <c r="BE44" i="4"/>
  <c r="BL46" i="4"/>
  <c r="BP40" i="4"/>
  <c r="BF39" i="4"/>
  <c r="BL38" i="4"/>
  <c r="BR37" i="4"/>
  <c r="BJ37" i="4"/>
  <c r="BP31" i="4"/>
  <c r="BH31" i="4"/>
  <c r="BN56" i="4"/>
  <c r="BF56" i="4"/>
  <c r="BL12" i="4"/>
  <c r="BQ11" i="4"/>
  <c r="BI11" i="4"/>
  <c r="BO10" i="4"/>
  <c r="BG10" i="4"/>
  <c r="BM7" i="4"/>
  <c r="BF6" i="4"/>
  <c r="BN6" i="4"/>
  <c r="BE46" i="4"/>
  <c r="BE56" i="4"/>
  <c r="BF55" i="4"/>
  <c r="BK46" i="4"/>
  <c r="BG40" i="4"/>
  <c r="BI37" i="4"/>
  <c r="BO31" i="4"/>
  <c r="BG31" i="4"/>
  <c r="BM56" i="4"/>
  <c r="BK12" i="4"/>
  <c r="BP11" i="4"/>
  <c r="BH11" i="4"/>
  <c r="BN10" i="4"/>
  <c r="BF10" i="4"/>
  <c r="BL7" i="4"/>
  <c r="BR45" i="4"/>
  <c r="BJ53" i="4"/>
  <c r="BI45" i="4"/>
  <c r="BE54" i="4"/>
  <c r="BH45" i="4"/>
  <c r="BN40" i="4"/>
  <c r="BJ38" i="4"/>
  <c r="BP37" i="4"/>
  <c r="BH37" i="4"/>
  <c r="BN31" i="4"/>
  <c r="BF31" i="4"/>
  <c r="BL56" i="4"/>
  <c r="BR12" i="4"/>
  <c r="BJ12" i="4"/>
  <c r="BO11" i="4"/>
  <c r="BG11" i="4"/>
  <c r="BM10" i="4"/>
  <c r="BK7" i="4"/>
  <c r="BH50" i="4"/>
  <c r="BP44" i="4"/>
  <c r="BN39" i="4"/>
  <c r="BO50" i="4"/>
  <c r="BQ45" i="4"/>
  <c r="BO40" i="4"/>
  <c r="BM39" i="4"/>
  <c r="BN50" i="4"/>
  <c r="BJ46" i="4"/>
  <c r="BL55" i="4"/>
  <c r="BP53" i="4"/>
  <c r="BF40" i="4"/>
  <c r="BE53" i="4"/>
  <c r="BE8" i="4"/>
  <c r="X8" i="4" s="1"/>
  <c r="BM50" i="4"/>
  <c r="BK47" i="4"/>
  <c r="BQ46" i="4"/>
  <c r="BI46" i="4"/>
  <c r="BO45" i="4"/>
  <c r="BG45" i="4"/>
  <c r="BM44" i="4"/>
  <c r="BK55" i="4"/>
  <c r="BQ54" i="4"/>
  <c r="BI54" i="4"/>
  <c r="BO53" i="4"/>
  <c r="BG53" i="4"/>
  <c r="BM40" i="4"/>
  <c r="BK39" i="4"/>
  <c r="BQ38" i="4"/>
  <c r="BI38" i="4"/>
  <c r="BO37" i="4"/>
  <c r="BG37" i="4"/>
  <c r="BM31" i="4"/>
  <c r="BK56" i="4"/>
  <c r="BQ12" i="4"/>
  <c r="BI12" i="4"/>
  <c r="BN11" i="4"/>
  <c r="BF11" i="4"/>
  <c r="BL10" i="4"/>
  <c r="BR7" i="4"/>
  <c r="BJ7" i="4"/>
  <c r="BI6" i="4"/>
  <c r="BQ6" i="4"/>
  <c r="BP50" i="4"/>
  <c r="BJ45" i="4"/>
  <c r="BH40" i="4"/>
  <c r="BM47" i="4"/>
  <c r="BO44" i="4"/>
  <c r="BK54" i="4"/>
  <c r="BF50" i="4"/>
  <c r="BP45" i="4"/>
  <c r="BF44" i="4"/>
  <c r="BJ54" i="4"/>
  <c r="BR38" i="4"/>
  <c r="BE40" i="4"/>
  <c r="BE7" i="4"/>
  <c r="BL50" i="4"/>
  <c r="BR47" i="4"/>
  <c r="BJ47" i="4"/>
  <c r="BP46" i="4"/>
  <c r="BH46" i="4"/>
  <c r="BN45" i="4"/>
  <c r="BF45" i="4"/>
  <c r="BL44" i="4"/>
  <c r="BR55" i="4"/>
  <c r="BJ55" i="4"/>
  <c r="BP54" i="4"/>
  <c r="BH54" i="4"/>
  <c r="BN53" i="4"/>
  <c r="BF53" i="4"/>
  <c r="BL40" i="4"/>
  <c r="BR39" i="4"/>
  <c r="BJ39" i="4"/>
  <c r="BP38" i="4"/>
  <c r="BH38" i="4"/>
  <c r="BN37" i="4"/>
  <c r="BF37" i="4"/>
  <c r="BL31" i="4"/>
  <c r="BR56" i="4"/>
  <c r="BJ56" i="4"/>
  <c r="BP12" i="4"/>
  <c r="BH12" i="4"/>
  <c r="BM11" i="4"/>
  <c r="BS48" i="4"/>
  <c r="BS10" i="4"/>
  <c r="BK10" i="4"/>
  <c r="BR6" i="4"/>
  <c r="BN47" i="4"/>
  <c r="BN55" i="4"/>
  <c r="BR53" i="4"/>
  <c r="BE55" i="4"/>
  <c r="BG50" i="4"/>
  <c r="BM55" i="4"/>
  <c r="BQ53" i="4"/>
  <c r="BK38" i="4"/>
  <c r="BE10" i="4"/>
  <c r="BR46" i="4"/>
  <c r="BN44" i="4"/>
  <c r="BR54" i="4"/>
  <c r="BH53" i="4"/>
  <c r="BL39" i="4"/>
  <c r="BE39" i="4"/>
  <c r="BK50" i="4"/>
  <c r="BQ47" i="4"/>
  <c r="BI47" i="4"/>
  <c r="BO46" i="4"/>
  <c r="BG46" i="4"/>
  <c r="BM45" i="4"/>
  <c r="BK44" i="4"/>
  <c r="BQ55" i="4"/>
  <c r="BI55" i="4"/>
  <c r="BO54" i="4"/>
  <c r="BG54" i="4"/>
  <c r="BM53" i="4"/>
  <c r="BK40" i="4"/>
  <c r="BQ39" i="4"/>
  <c r="BI39" i="4"/>
  <c r="BO38" i="4"/>
  <c r="BG38" i="4"/>
  <c r="BM37" i="4"/>
  <c r="BS49" i="4"/>
  <c r="BS31" i="4"/>
  <c r="BK31" i="4"/>
  <c r="BQ56" i="4"/>
  <c r="BI56" i="4"/>
  <c r="BO12" i="4"/>
  <c r="BG12" i="4"/>
  <c r="BL11" i="4"/>
  <c r="BR10" i="4"/>
  <c r="BJ10" i="4"/>
  <c r="BP7" i="4"/>
  <c r="BH7" i="4"/>
  <c r="BK6" i="4"/>
  <c r="AH12" i="4" l="1"/>
  <c r="AH9" i="4"/>
  <c r="AH10" i="4"/>
  <c r="AH13" i="4"/>
  <c r="AI8" i="4"/>
  <c r="AH11" i="4"/>
  <c r="AF15" i="4"/>
  <c r="AF17" i="4" s="1"/>
  <c r="X6" i="4"/>
  <c r="X31" i="4"/>
  <c r="X38" i="4"/>
  <c r="X56" i="4"/>
  <c r="X10" i="4"/>
  <c r="X7" i="4"/>
  <c r="X55" i="4"/>
  <c r="X11" i="4"/>
  <c r="X54" i="4"/>
  <c r="X50" i="4"/>
  <c r="X12" i="4"/>
  <c r="X45" i="4"/>
  <c r="X46" i="4"/>
  <c r="X47" i="4"/>
  <c r="X40" i="4"/>
  <c r="X37" i="4"/>
  <c r="X39" i="4"/>
  <c r="X53" i="4"/>
  <c r="X44" i="4"/>
  <c r="BG48" i="4"/>
  <c r="BO49" i="4"/>
  <c r="BQ49" i="4"/>
  <c r="BL49" i="4"/>
  <c r="BG49" i="4"/>
  <c r="BF49" i="4"/>
  <c r="BR48" i="4"/>
  <c r="BM48" i="4"/>
  <c r="BJ48" i="4"/>
  <c r="BN49" i="4"/>
  <c r="BO48" i="4"/>
  <c r="BI49" i="4"/>
  <c r="BI48" i="4"/>
  <c r="BK49" i="4"/>
  <c r="BP49" i="4"/>
  <c r="BH49" i="4"/>
  <c r="BK48" i="4"/>
  <c r="BE48" i="4"/>
  <c r="BP48" i="4"/>
  <c r="BR49" i="4"/>
  <c r="BN48" i="4"/>
  <c r="BQ48" i="4"/>
  <c r="BE49" i="4"/>
  <c r="BM49" i="4"/>
  <c r="BH48" i="4"/>
  <c r="BJ49" i="4"/>
  <c r="BF48" i="4"/>
  <c r="BL48" i="4"/>
  <c r="AJ8" i="4" l="1"/>
  <c r="AI11" i="4"/>
  <c r="AI12" i="4"/>
  <c r="AI13" i="4"/>
  <c r="AI10" i="4"/>
  <c r="AI9" i="4"/>
  <c r="AG15" i="4"/>
  <c r="AG17" i="4" s="1"/>
  <c r="X49" i="4"/>
  <c r="X48" i="4"/>
  <c r="AJ10" i="4" l="1"/>
  <c r="AJ12" i="4"/>
  <c r="AK8" i="4"/>
  <c r="AJ13" i="4"/>
  <c r="AJ11" i="4"/>
  <c r="AJ9" i="4"/>
  <c r="AH15" i="4"/>
  <c r="AH17" i="4" s="1"/>
  <c r="AL8" i="4" l="1"/>
  <c r="AK11" i="4"/>
  <c r="AK13" i="4"/>
  <c r="AK12" i="4"/>
  <c r="AK10" i="4"/>
  <c r="AK9" i="4"/>
  <c r="AI15" i="4"/>
  <c r="AI17" i="4" s="1"/>
  <c r="AL13" i="4" l="1"/>
  <c r="AM8" i="4"/>
  <c r="AL11" i="4"/>
  <c r="AL9" i="4"/>
  <c r="AL12" i="4"/>
  <c r="AL10" i="4"/>
  <c r="AJ15" i="4"/>
  <c r="AJ17" i="4" s="1"/>
  <c r="AM13" i="4" l="1"/>
  <c r="AN8" i="4"/>
  <c r="AM11" i="4"/>
  <c r="AM9" i="4"/>
  <c r="AM10" i="4"/>
  <c r="AM12" i="4"/>
  <c r="AK15" i="4"/>
  <c r="AK17" i="4" s="1"/>
  <c r="AN10" i="4" l="1"/>
  <c r="AN13" i="4"/>
  <c r="AN11" i="4"/>
  <c r="AN12" i="4"/>
  <c r="AN9" i="4"/>
  <c r="AL15" i="4"/>
  <c r="AL17" i="4" s="1"/>
  <c r="AN15" i="4" l="1"/>
  <c r="AM15" i="4"/>
  <c r="AM17" i="4" s="1"/>
  <c r="AD19" i="4" l="1"/>
  <c r="AD20" i="4" s="1"/>
  <c r="AN17" i="4"/>
  <c r="AD21" i="4" s="1"/>
  <c r="AD22" i="4" l="1"/>
  <c r="AD23" i="4" s="1"/>
  <c r="AD24"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375AF3-1A89-3F45-96D4-CA7D5183FD9A}" name="Connection" type="4" refreshedVersion="0" background="1">
    <webPr url="https://www.roic.ai/quote/cmco/financials" htmlTables="1" htmlFormat="all"/>
  </connection>
  <connection id="2" xr16:uid="{3BB0233B-3DCD-0142-9317-BD3E315A8D40}" name="Connection1" type="4" refreshedVersion="0" background="1">
    <webPr url="https://www.roic.ai/quote/aapl/financials" htmlTables="1" htmlFormat="all"/>
  </connection>
  <connection id="3" xr16:uid="{13F8AAFC-AF7C-6D4B-8947-B129E56EBA6D}" name="Connection10" type="4" refreshedVersion="0" background="1">
    <webPr url="https://stockanalysis.com/stocks/cmco/financials/ratios/?p=quarterly" htmlTables="1" htmlFormat="all"/>
  </connection>
  <connection id="4" xr16:uid="{788D84C5-0A51-7247-8716-59A71EE67C4C}" name="Connection11" type="4" refreshedVersion="0" background="1">
    <webPr url="https://stockanalysis.com/stocks/nxe/forecast/" htmlTables="1" htmlFormat="all"/>
  </connection>
  <connection id="5" xr16:uid="{7F851D13-DA20-434C-88D9-16620B6084A7}" name="Connection12" type="4" refreshedVersion="0" background="1">
    <webPr url="https://stockanalysis.com/stocks/msf/financials/?p=quarterly" htmlTables="1" htmlFormat="all"/>
  </connection>
  <connection id="6" xr16:uid="{3CC47638-8A25-2049-BBC4-6D268E079DC1}" name="Connection13" type="4" refreshedVersion="0" background="1">
    <webPr url="https://stockanalysis.com/stocks/dlt/financials/?p=quarterly" htmlTables="1" htmlFormat="all"/>
  </connection>
  <connection id="7" xr16:uid="{3E2B9664-4948-2741-A0C4-73E7BDB02917}" name="Connection14" type="4" refreshedVersion="8">
    <webPr xl2000="1" url="https://stockanalysis.com/stocks/alb/financials/?p=quarterly" htmlTables="1" htmlFormat="all"/>
  </connection>
  <connection id="8" xr16:uid="{C87E4A75-44D1-0743-8925-D20972E1A496}" name="Connection15" type="4" refreshedVersion="8">
    <webPr xl2000="1" url="https://stockanalysis.com/stocks/alb/financials/balance-sheet/?p=quarterly" htmlTables="1" htmlFormat="all"/>
  </connection>
  <connection id="9" xr16:uid="{74AA3E3C-2E4A-2247-BA6D-50F7A6C4190F}" name="Connection16" type="4" refreshedVersion="8">
    <webPr xl2000="1" url="https://stockanalysis.com/stocks/alb/financials/cash-flow-statement/?p=quarterly" htmlTables="1" htmlFormat="all"/>
  </connection>
  <connection id="10" xr16:uid="{1615E79A-3926-204A-BC74-B2F85AD28151}" name="Connection17" type="4" refreshedVersion="0" background="1">
    <webPr url="https://stockanalysis.com/stocks/abv/financials/" htmlTables="1" htmlFormat="all"/>
  </connection>
  <connection id="11" xr16:uid="{093526E1-B794-E845-AC0F-9FD3F798F86A}" name="Connection18" type="4" refreshedVersion="0" background="1">
    <webPr url="https://stockanalysis.com/stocks/nxdt/financials/?p=trailing" htmlTables="1" htmlFormat="all"/>
  </connection>
  <connection id="12" xr16:uid="{9DDEA77D-8FE0-6F42-ACE4-85635003C90A}" name="Connection19" type="4" refreshedVersion="0" background="1">
    <webPr url="https://stockanalysis.com/stocks/abx/financials/?p=trailing" htmlTables="1" htmlFormat="all"/>
  </connection>
  <connection id="13" xr16:uid="{AA65133A-1D6D-5340-8491-88C47A50554F}" name="Connection2" type="4" refreshedVersion="0" background="1">
    <webPr url="https://stockanalysis.com/stocks/sot/financials/?p=trailing" htmlTables="1" htmlFormat="all"/>
  </connection>
  <connection id="14" xr16:uid="{32BF254D-1B37-614B-B9D0-73A41B77BD8A}" name="Connection20" type="4" refreshedVersion="8">
    <webPr xl2000="1" url="https://discountingcashflows.com/company/nvda/cash-flow-statement/" htmlTables="1" htmlFormat="all"/>
  </connection>
  <connection id="15" xr16:uid="{627AB481-3109-2547-AFF5-EFC99B348C2B}" name="Connection21" type="4" refreshedVersion="8">
    <webPr xl2000="1" url="https://discountingcashflows.com/company/nvda/ratios/" htmlTables="1" htmlFormat="all"/>
  </connection>
  <connection id="16" xr16:uid="{2DC345D0-80D3-CC4E-ACDC-7DF80E170396}" name="Connection22" type="4" refreshedVersion="0" background="1">
    <webPr url="https://stockanalysis.com/stocks/gill/financials/?p=trailing" htmlTables="1" htmlFormat="all"/>
  </connection>
  <connection id="17" xr16:uid="{2B376E0F-D740-9D4A-A30C-D187B8B81F71}" name="Connection23" type="4" refreshedVersion="0" background="1">
    <webPr url="https://stockanalysis.com/stocks/glll/financials/?p=trailing" htmlTables="1" htmlFormat="all"/>
  </connection>
  <connection id="18" xr16:uid="{6C290CAF-B675-D348-8FDC-313740DFA29B}" name="Connection24" type="4" refreshedVersion="0" background="1">
    <webPr url="https://stockanalysis.com/stocks/cbat/forecast/" htmlTables="1" htmlFormat="all"/>
  </connection>
  <connection id="19" xr16:uid="{E5B99A68-5454-B841-B0B1-E4A9C9E0E4A7}" name="Connection25" type="4" refreshedVersion="0" background="1">
    <webPr url="https://stockanalysis.com/stocks/acgo/financials/?p=trailing" htmlTables="1" htmlFormat="all"/>
  </connection>
  <connection id="20" xr16:uid="{284063FA-BD17-3448-8762-AEEE66A9E7E3}" name="Connection26" type="4" refreshedVersion="0" background="1">
    <webPr url="https://stockanalysis.com/stocks/cmbt/forecast/" htmlTables="1" htmlFormat="all"/>
  </connection>
  <connection id="21" xr16:uid="{84D0CFAA-2AA1-0645-B815-6293B91F6F4E}" name="Connection27" type="4" refreshedVersion="0" background="1">
    <webPr url="https://stockanalysis.com/stocks/mind/forecast/" htmlTables="1" htmlFormat="all"/>
  </connection>
  <connection id="22" xr16:uid="{7D02074B-4F33-DC45-8B10-E2F06BCE5221}" name="Connection28" type="4" refreshedVersion="0" background="1">
    <webPr url="https://stockanalysis.com/stocks/acgo/financials/?p=trailing" htmlTables="1" htmlFormat="all"/>
  </connection>
  <connection id="23" xr16:uid="{939653A3-5D1E-274F-A83D-58C9303DCCDA}" name="Connection29" type="4" refreshedVersion="0" background="1">
    <webPr url="https://stockanalysis.com/stocks/lgcl/forecast/" htmlTables="1" htmlFormat="all"/>
  </connection>
  <connection id="24" xr16:uid="{115D76CC-5028-5C4D-A303-4E2A6E329406}" name="Connection3" type="4" refreshedVersion="0" background="1">
    <webPr url="https://stockanalysis.com/stocks/cmco/financials/balance-sheet/?p=quarterly" htmlTables="1" htmlFormat="all"/>
  </connection>
  <connection id="25" xr16:uid="{210157D5-C206-8042-B57C-FEA59D2F51AC}" name="Connection30" type="4" refreshedVersion="0" background="1">
    <webPr url="https://stockanalysis.com/stocks/bwlp/forecast/" htmlTables="1" htmlFormat="all"/>
  </connection>
  <connection id="26" xr16:uid="{CBD3AB32-7372-1B4B-8193-CA6F17FE4106}" name="Connection31" type="4" refreshedVersion="0" background="1">
    <webPr url="https://stockanalysis.com/stocks/lgcl/forecast/" htmlTables="1" htmlFormat="all"/>
  </connection>
  <connection id="27" xr16:uid="{DB8C2D80-F32F-8446-916E-3DF6A40A5870}" name="Connection32" type="4" refreshedVersion="0" background="1">
    <webPr url="https://stockanalysis.com/stocks/lgcl/forecast/" htmlTables="1" htmlFormat="all"/>
  </connection>
  <connection id="28" xr16:uid="{AFA1C75E-D202-9C4A-B6E4-BDE519651850}" name="Connection33" type="4" refreshedVersion="0" background="1">
    <webPr url="https://stockanalysis.com/stocks/pkoh/forecast/" htmlTables="1" htmlFormat="all"/>
  </connection>
  <connection id="29" xr16:uid="{72F03F44-D142-3C49-89FF-4B11B664460B}" name="Connection34" type="4" refreshedVersion="0" background="1">
    <webPr url="https://stockanalysis.com/stocks/ndva/financials/?p=trailing" htmlTables="1" htmlFormat="all"/>
  </connection>
  <connection id="30" xr16:uid="{A5E207A9-8EB3-5545-8161-31B7D1C61A3D}" name="Connection35" type="4" refreshedVersion="0" background="1">
    <webPr url="https://stockanalysis.com/stocks/merk/financials/?p=trailing" htmlTables="1" htmlFormat="all"/>
  </connection>
  <connection id="31" xr16:uid="{7CCA835A-D283-D14A-8F63-9DBB50BD9DE5}" name="Connection36" type="4" refreshedVersion="0" background="1">
    <webPr url="https://stockanalysis.com/stocks/jcse/forecast/" htmlTables="1" htmlFormat="all"/>
  </connection>
  <connection id="32" xr16:uid="{66710CF2-06B2-3941-BE2D-73DF427D8904}" name="Connection37" type="4" refreshedVersion="0" background="1">
    <webPr url="https://stockanalysis.com/stocks/tayd/forecast/" htmlTables="1" htmlFormat="all"/>
  </connection>
  <connection id="33" xr16:uid="{DB5FC0B7-97BA-5046-8E46-D79369B33A3C}" name="Connection38" type="4" refreshedVersion="0" background="1">
    <webPr url="https://stockanalysis.com/stocks/qnbc/forecast/" htmlTables="1" htmlFormat="all"/>
  </connection>
  <connection id="34" xr16:uid="{6B97DE97-0DEC-E541-A486-4D1392542997}" name="Connection39" type="4" refreshedVersion="0" background="1">
    <webPr url="https://stockanalysis.com/stocks/abb/forecast/" htmlTables="1" htmlFormat="all"/>
  </connection>
  <connection id="35" xr16:uid="{F5F5C4FD-6EB8-6A43-B7A8-7C0A4F0D33E7}" name="Connection4" type="4" refreshedVersion="0" background="1">
    <webPr url="https://stockanalysis.com/stocks/citi/financials/?p=trailing" htmlTables="1" htmlFormat="all"/>
  </connection>
  <connection id="36" xr16:uid="{4A864624-AEFC-CF4E-9280-878E2936BB27}" name="Connection40" type="4" refreshedVersion="0" background="1">
    <webPr url="https://stockanalysis.com/stocks/bgry/forecast/" htmlTables="1" htmlFormat="all"/>
  </connection>
  <connection id="37" xr16:uid="{3BF0E2D1-59AA-AE46-9FD0-B4A5F72CD890}" name="Connection41" type="4" refreshedVersion="8">
    <webPr xl2000="1" url="https://stockanalysis.com/stocks/alb/financials/ratios/?p=quarterly" htmlTables="1" htmlFormat="all"/>
  </connection>
  <connection id="38" xr16:uid="{2CB4A65A-08FE-E646-AB9E-4B52D374BDED}" name="Connection42" type="4" refreshedVersion="0" background="1">
    <webPr url="https://stockanalysis.com/stocks/pdyn/forecast/" htmlTables="1" htmlFormat="all"/>
  </connection>
  <connection id="39" xr16:uid="{08A1123C-D650-D340-BB25-AAF366FB62C8}" name="Connection43" type="4" refreshedVersion="0" background="1">
    <webPr url="https://stockanalysis.com/stocks/mind/forecast/" htmlTables="1" htmlFormat="all"/>
  </connection>
  <connection id="40" xr16:uid="{5FAC0AFC-1835-CC4A-B454-20898F940A9B}" name="Connection44" type="4" refreshedVersion="0" background="1">
    <webPr url="https://stockanalysis.com/stocks/abb/forecast/" htmlTables="1" htmlFormat="all"/>
  </connection>
  <connection id="41" xr16:uid="{10D77FC6-14AC-B741-9637-79ED1EEEF508}" name="Connection45" type="4" refreshedVersion="0" background="1">
    <webPr url="https://stockanalysis.com/stocks/fer/forecast/" htmlTables="1" htmlFormat="all"/>
  </connection>
  <connection id="42" xr16:uid="{4EAB3FAA-B62C-444E-8F2E-47F19C25E847}" name="Connection46" type="4" refreshedVersion="0" background="1">
    <webPr url="https://stockanalysis.com/stocks/sfwl/forecast/" htmlTables="1" htmlFormat="all"/>
  </connection>
  <connection id="43" xr16:uid="{871A26ED-E477-5A4B-A588-C39B29952BF9}" name="Connection47" type="4" refreshedVersion="0" background="1">
    <webPr url="https://stockanalysis.com/stocks/vow/financials/?p=trailing" htmlTables="1" htmlFormat="all"/>
  </connection>
  <connection id="44" xr16:uid="{AB3E02D3-9C1A-EC48-AAE5-ABC64C0467EE}" name="Connection48" type="4" refreshedVersion="0" background="1">
    <webPr url="https://stockanalysis.com/stocks/catl/financials/?p=trailing" htmlTables="1" htmlFormat="all"/>
  </connection>
  <connection id="45" xr16:uid="{091B6D97-E91B-C645-ABB9-43491E411605}" name="Connection49" type="4" refreshedVersion="0" background="1">
    <webPr url="https://stockanalysis.com/stocks/pbi/forecast/" htmlTables="1" htmlFormat="all"/>
  </connection>
  <connection id="46" xr16:uid="{A2D4522F-1409-4045-A9D3-C36C47D624A2}" name="Connection5" type="4" refreshedVersion="0" background="1">
    <webPr url="https://stockanalysis.com/stocks/iau/financials/?p=trailing" htmlTables="1" htmlFormat="all"/>
  </connection>
  <connection id="47" xr16:uid="{9A8993F6-46D2-9544-B392-B26B08DBB22A}" name="Connection50" type="4" refreshedVersion="0" background="1">
    <webPr url="https://stockanalysis.com/stocks/jva/forecast/" htmlTables="1" htmlFormat="all"/>
  </connection>
  <connection id="48" xr16:uid="{AE222FCC-056B-704B-82B4-FF7E886F92C7}" name="Connection51" type="4" refreshedVersion="0" background="1">
    <webPr url="https://stockanalysis.com/stocks/lgcl/forecast/" htmlTables="1" htmlFormat="all"/>
  </connection>
  <connection id="49" xr16:uid="{A83188AB-2FB0-1F48-AAEB-B527F2137A9C}" name="Connection52" type="4" refreshedVersion="0" background="1">
    <webPr url="https://stockanalysis.com/stocks/htcr/forecast/" htmlTables="1" htmlFormat="all"/>
  </connection>
  <connection id="50" xr16:uid="{F783F8F7-EF44-944C-B102-7A4747789412}" name="Connection53" type="4" refreshedVersion="0" background="1">
    <webPr url="https://stockanalysis.com/stocks/qh/forecast/" htmlTables="1" htmlFormat="all"/>
  </connection>
  <connection id="51" xr16:uid="{1A01A96C-C423-294B-A942-9DF205C04C70}" name="Connection54" type="4" refreshedVersion="0" background="1">
    <webPr url="https://stockanalysis.com/stocks/5333/financials/?p=trailing" htmlTables="1" htmlFormat="all"/>
  </connection>
  <connection id="52" xr16:uid="{933BF29D-185D-8647-91A5-E829C89DCA8C}" name="Connection55" type="4" refreshedVersion="0" background="1">
    <webPr url="https://stockanalysis.com/stocks/ngkif/financials/?p=trailing" htmlTables="1" htmlFormat="all"/>
  </connection>
  <connection id="53" xr16:uid="{493AB2ED-05FB-9C4C-BB4A-A33CC4A24EED}" name="Connection56" type="4" refreshedVersion="8">
    <webPr xl2000="1" url="https://stockanalysis.com/stocks/nvda/financials/?p=trailing" htmlTables="1" htmlFormat="all"/>
  </connection>
  <connection id="54" xr16:uid="{66601B95-F25F-F04E-B99F-CF4287F985BC}" name="Connection57" type="4" refreshedVersion="0" background="1">
    <webPr url="https://stockanalysis.com/stocks/tk/forecast/" htmlTables="1" htmlFormat="all"/>
  </connection>
  <connection id="55" xr16:uid="{20C66ABF-F9A9-114A-B43E-6F6EAC05BFAF}" name="Connection58" type="4" refreshedVersion="0" background="1">
    <webPr url="https://stockanalysis.com/stocks/grc/forecast/" htmlTables="1" htmlFormat="all"/>
  </connection>
  <connection id="56" xr16:uid="{611E663A-1F8F-BA42-8AA9-074BE666F77F}" name="Connection59" type="4" refreshedVersion="8">
    <webPr xl2000="1" url="https://stockanalysis.com/stocks/nvda/forecast/" htmlTables="1" htmlFormat="all"/>
  </connection>
  <connection id="57" xr16:uid="{C97E69FE-9E6E-0A4A-B350-0C6935421D6A}" name="Connection6" type="4" refreshedVersion="0" background="1">
    <webPr url="https://stockanalysis.com/stocks/bull/financials/?p=trailing" htmlTables="1" htmlFormat="all"/>
  </connection>
  <connection id="58" xr16:uid="{849E1B84-AA92-B840-8CA6-3E4E82BCBFAD}" name="Connection60" type="4" refreshedVersion="8">
    <webPr xl2000="1" url="https://stockanalysis.com/stocks/nvda/financials/balance-sheet/?p=trailing" htmlTables="1" htmlFormat="all"/>
  </connection>
  <connection id="59" xr16:uid="{5C7D5E58-C98B-5446-AD64-D057BFCE6AE6}" name="Connection61" type="4" refreshedVersion="8">
    <webPr xl2000="1" url="https://stockanalysis.com/stocks/nvda/financials/cash-flow-statement/?p=trailing" htmlTables="1" htmlFormat="all"/>
  </connection>
  <connection id="60" xr16:uid="{83BEEF7F-483E-624B-9338-217C5B68CEB6}" name="Connection62" type="4" refreshedVersion="8">
    <webPr xl2000="1" url="https://stockanalysis.com/stocks/nvda/financials/ratios/?p=trailing" htmlTables="1" htmlFormat="all"/>
  </connection>
  <connection id="61" xr16:uid="{06E659FA-FEA8-5249-8B1D-4B8D334C14E6}" name="Connection7" type="4" refreshedVersion="8">
    <webPr xl2000="1" url="https://discountingcashflows.com/company/nvda/income-statement/" htmlTables="1" htmlFormat="all"/>
  </connection>
  <connection id="62" xr16:uid="{FD70F2E3-5BC4-E643-B662-E18A52BC213C}" name="Connection8" type="4" refreshedVersion="8">
    <webPr xl2000="1" url="https://discountingcashflows.com/company/nvda/balance-sheet-statement/" htmlTables="1" htmlFormat="all"/>
  </connection>
  <connection id="63" xr16:uid="{72ECC036-7DD5-0C47-BCFD-DA22424CDDFD}" name="Connection9" type="4" refreshedVersion="8">
    <webPr xl2000="1" url="https://stockanalysis.com/stocks/nvda/statistics/"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8">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1"/>
        </ext>
      </extLst>
    </bk>
    <bk>
      <extLst>
        <ext uri="{3e2802c4-a4d2-4d8b-9148-e3be6c30e623}">
          <xlrd:rvb i="84"/>
        </ext>
      </extLst>
    </bk>
    <bk>
      <extLst>
        <ext uri="{3e2802c4-a4d2-4d8b-9148-e3be6c30e623}">
          <xlrd:rvb i="90"/>
        </ext>
      </extLst>
    </bk>
    <bk>
      <extLst>
        <ext uri="{3e2802c4-a4d2-4d8b-9148-e3be6c30e623}">
          <xlrd:rvb i="93"/>
        </ext>
      </extLst>
    </bk>
    <bk>
      <extLst>
        <ext uri="{3e2802c4-a4d2-4d8b-9148-e3be6c30e623}">
          <xlrd:rvb i="96"/>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8"/>
        </ext>
      </extLst>
    </bk>
    <bk>
      <extLst>
        <ext uri="{3e2802c4-a4d2-4d8b-9148-e3be6c30e623}">
          <xlrd:rvb i="131"/>
        </ext>
      </extLst>
    </bk>
    <bk>
      <extLst>
        <ext uri="{3e2802c4-a4d2-4d8b-9148-e3be6c30e623}">
          <xlrd:rvb i="134"/>
        </ext>
      </extLst>
    </bk>
    <bk>
      <extLst>
        <ext uri="{3e2802c4-a4d2-4d8b-9148-e3be6c30e623}">
          <xlrd:rvb i="137"/>
        </ext>
      </extLst>
    </bk>
    <bk>
      <extLst>
        <ext uri="{3e2802c4-a4d2-4d8b-9148-e3be6c30e623}">
          <xlrd:rvb i="140"/>
        </ext>
      </extLst>
    </bk>
    <bk>
      <extLst>
        <ext uri="{3e2802c4-a4d2-4d8b-9148-e3be6c30e623}">
          <xlrd:rvb i="143"/>
        </ext>
      </extLst>
    </bk>
  </futureMetadata>
  <cellMetadata count="1">
    <bk>
      <rc t="1" v="0"/>
    </bk>
  </cellMetadata>
  <valueMetadata count="4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valueMetadata>
</metadata>
</file>

<file path=xl/sharedStrings.xml><?xml version="1.0" encoding="utf-8"?>
<sst xmlns="http://schemas.openxmlformats.org/spreadsheetml/2006/main" count="2622" uniqueCount="622">
  <si>
    <t>Income Statement</t>
  </si>
  <si>
    <t>Gross Profit</t>
  </si>
  <si>
    <t>EBITDA</t>
  </si>
  <si>
    <t>EBIT</t>
  </si>
  <si>
    <t>Balance Sheet</t>
  </si>
  <si>
    <t>Current Ratio</t>
  </si>
  <si>
    <t>Free Cash Flow</t>
  </si>
  <si>
    <t>Total Debt</t>
  </si>
  <si>
    <t>Quick Ratio</t>
  </si>
  <si>
    <t>Enterprise Value</t>
  </si>
  <si>
    <t>Period Ending</t>
  </si>
  <si>
    <t>Cash &amp; Equivalents</t>
  </si>
  <si>
    <t>-</t>
  </si>
  <si>
    <t>Retained Earnings</t>
  </si>
  <si>
    <t>Shareholders' Equity</t>
  </si>
  <si>
    <t>Net Cash (Debt)</t>
  </si>
  <si>
    <t>Book Value Per Share</t>
  </si>
  <si>
    <t>Net Income</t>
  </si>
  <si>
    <t>Free Cash Flow Per Share</t>
  </si>
  <si>
    <t>PE Ratio</t>
  </si>
  <si>
    <t>PS Ratio</t>
  </si>
  <si>
    <t>PB Ratio</t>
  </si>
  <si>
    <t>P/FCF Ratio</t>
  </si>
  <si>
    <t>P/OCF Ratio</t>
  </si>
  <si>
    <t>EV/Sales Ratio</t>
  </si>
  <si>
    <t>EV/FCF Ratio</t>
  </si>
  <si>
    <t>Return on Equity (ROE)</t>
  </si>
  <si>
    <t>Return on Assets (ROA)</t>
  </si>
  <si>
    <t>Return on Capital (ROIC)</t>
  </si>
  <si>
    <t>Return on Capital Employed (ROCE)</t>
  </si>
  <si>
    <t>Earnings Yield</t>
  </si>
  <si>
    <t>FCF Yield</t>
  </si>
  <si>
    <t>Revenue</t>
  </si>
  <si>
    <t>EPS (Basic)</t>
  </si>
  <si>
    <t>EPS (Diluted)</t>
  </si>
  <si>
    <t>Dividend Per Share</t>
  </si>
  <si>
    <t>Gross Margin</t>
  </si>
  <si>
    <t>Operating Margin</t>
  </si>
  <si>
    <t>Profit Margin</t>
  </si>
  <si>
    <t>Per Share Data</t>
  </si>
  <si>
    <t>EV</t>
  </si>
  <si>
    <t>Profitability &amp; Efficiency</t>
  </si>
  <si>
    <t>Valuation Multiples</t>
  </si>
  <si>
    <t>Year</t>
  </si>
  <si>
    <t>TTM</t>
  </si>
  <si>
    <t>Market Cap</t>
  </si>
  <si>
    <t>Forward PE</t>
  </si>
  <si>
    <t>Forward PS</t>
  </si>
  <si>
    <t>EV / Earnings</t>
  </si>
  <si>
    <t>EV / Sales</t>
  </si>
  <si>
    <t>EV / EBITDA</t>
  </si>
  <si>
    <t>EV / EBIT</t>
  </si>
  <si>
    <t>EV / FCF</t>
  </si>
  <si>
    <t>Debt / Equity</t>
  </si>
  <si>
    <t>Debt / EBITDA</t>
  </si>
  <si>
    <t>Debt / FCF</t>
  </si>
  <si>
    <t>Interest Coverage</t>
  </si>
  <si>
    <t>Price Target</t>
  </si>
  <si>
    <t>Price Target Difference</t>
  </si>
  <si>
    <t>Analyst Consensus</t>
  </si>
  <si>
    <t>Analyst Count</t>
  </si>
  <si>
    <t>Revenue Growth Forecast (5Y)</t>
  </si>
  <si>
    <t>EPS Growth Forecast (5Y)</t>
  </si>
  <si>
    <t>Upgrade</t>
  </si>
  <si>
    <t>EPS Growth</t>
  </si>
  <si>
    <t xml:space="preserve">Current Ratio </t>
  </si>
  <si>
    <t xml:space="preserve">Quick Ratio </t>
  </si>
  <si>
    <t xml:space="preserve">Effective Tax Rate </t>
  </si>
  <si>
    <t>Z-Score</t>
  </si>
  <si>
    <t>Buy</t>
  </si>
  <si>
    <t>Strong Buy</t>
  </si>
  <si>
    <t>Sell</t>
  </si>
  <si>
    <t>Hold</t>
  </si>
  <si>
    <t>Target</t>
  </si>
  <si>
    <t>Low</t>
  </si>
  <si>
    <t>Average</t>
  </si>
  <si>
    <t>Median</t>
  </si>
  <si>
    <t>High</t>
  </si>
  <si>
    <t>Price</t>
  </si>
  <si>
    <t>Change</t>
  </si>
  <si>
    <t>Rating</t>
  </si>
  <si>
    <t>Strong Sell</t>
  </si>
  <si>
    <t>Total</t>
  </si>
  <si>
    <t>Analyst</t>
  </si>
  <si>
    <t>Firm</t>
  </si>
  <si>
    <t>Action</t>
  </si>
  <si>
    <t>Upside</t>
  </si>
  <si>
    <t>Date</t>
  </si>
  <si>
    <t>Fiscal Year</t>
  </si>
  <si>
    <t>FY 2021</t>
  </si>
  <si>
    <t>FY 2022</t>
  </si>
  <si>
    <t>FY 2023</t>
  </si>
  <si>
    <t>FY 2024</t>
  </si>
  <si>
    <t>Revenue Growth</t>
  </si>
  <si>
    <t>EPS</t>
  </si>
  <si>
    <t>No. Analysts</t>
  </si>
  <si>
    <t>Avg</t>
  </si>
  <si>
    <t>Fiscal Quarter</t>
  </si>
  <si>
    <t>Q4 2024</t>
  </si>
  <si>
    <t>Q3 2024</t>
  </si>
  <si>
    <t>Q4 2023</t>
  </si>
  <si>
    <t>Q4 2022</t>
  </si>
  <si>
    <t>Q4 2021</t>
  </si>
  <si>
    <t>Cost of Revenue</t>
  </si>
  <si>
    <t>Selling, General &amp; Admin</t>
  </si>
  <si>
    <t>Operating Expenses</t>
  </si>
  <si>
    <t>Operating Income</t>
  </si>
  <si>
    <t>Interest Expense</t>
  </si>
  <si>
    <t>Interest &amp; Investment Income</t>
  </si>
  <si>
    <t>Pretax Income</t>
  </si>
  <si>
    <t>Income Tax Expense</t>
  </si>
  <si>
    <t>Net Income to Common</t>
  </si>
  <si>
    <t>Shares Outstanding (Basic)</t>
  </si>
  <si>
    <t>Shares Outstanding (Diluted)</t>
  </si>
  <si>
    <t>Free Cash Flow Margin</t>
  </si>
  <si>
    <t>EBITDA Margin</t>
  </si>
  <si>
    <t>D&amp;A For EBITDA</t>
  </si>
  <si>
    <t>EBIT Margin</t>
  </si>
  <si>
    <t>Effective Tax Rate</t>
  </si>
  <si>
    <t>Cash &amp; Short-Term Investments</t>
  </si>
  <si>
    <t>Receivables</t>
  </si>
  <si>
    <t>Inventory</t>
  </si>
  <si>
    <t>Other Current Assets</t>
  </si>
  <si>
    <t>Total Current Assets</t>
  </si>
  <si>
    <t>Property, Plant &amp; Equipment</t>
  </si>
  <si>
    <t>Other Long-Term Assets</t>
  </si>
  <si>
    <t>Total Assets</t>
  </si>
  <si>
    <t>Accounts Payable</t>
  </si>
  <si>
    <t>Accrued Expenses</t>
  </si>
  <si>
    <t>Current Portion of Leases</t>
  </si>
  <si>
    <t>Other Current Liabilities</t>
  </si>
  <si>
    <t>Total Current Liabilities</t>
  </si>
  <si>
    <t>Long-Term Debt</t>
  </si>
  <si>
    <t>Long-Term Leases</t>
  </si>
  <si>
    <t>Other Long-Term Liabilities</t>
  </si>
  <si>
    <t>Total Liabilities</t>
  </si>
  <si>
    <t>Common Stock</t>
  </si>
  <si>
    <t>Additional Paid-In Capital</t>
  </si>
  <si>
    <t>Comprehensive Income &amp; Other</t>
  </si>
  <si>
    <t>Total Liabilities &amp; Equity</t>
  </si>
  <si>
    <t>Net Cash Per Share</t>
  </si>
  <si>
    <t>Filing Date Shares Outstanding</t>
  </si>
  <si>
    <t>Total Common Shares Outstanding</t>
  </si>
  <si>
    <t>Working Capital</t>
  </si>
  <si>
    <t>Tangible Book Value</t>
  </si>
  <si>
    <t>Tangible Book Value Per Share</t>
  </si>
  <si>
    <t>Machinery</t>
  </si>
  <si>
    <t>Depreciation &amp; Amortization</t>
  </si>
  <si>
    <t>Stock-Based Compensation</t>
  </si>
  <si>
    <t>Other Operating Activities</t>
  </si>
  <si>
    <t>Change in Inventory</t>
  </si>
  <si>
    <t>Change in Accounts Payable</t>
  </si>
  <si>
    <t>Change in Other Net Operating Assets</t>
  </si>
  <si>
    <t>Operating Cash Flow</t>
  </si>
  <si>
    <t>Capital Expenditures</t>
  </si>
  <si>
    <t>Other Investing Activities</t>
  </si>
  <si>
    <t>Investing Cash Flow</t>
  </si>
  <si>
    <t>Total Debt Issued</t>
  </si>
  <si>
    <t>Long-Term Debt Repaid</t>
  </si>
  <si>
    <t>Total Debt Repaid</t>
  </si>
  <si>
    <t>Net Debt Issued (Repaid)</t>
  </si>
  <si>
    <t>Other Financing Activities</t>
  </si>
  <si>
    <t>Financing Cash Flow</t>
  </si>
  <si>
    <t>Net Cash Flow</t>
  </si>
  <si>
    <t>Cash Interest Paid</t>
  </si>
  <si>
    <t>Cash Income Tax Paid</t>
  </si>
  <si>
    <t>Levered Free Cash Flow</t>
  </si>
  <si>
    <t>Unlevered Free Cash Flow</t>
  </si>
  <si>
    <t>Change in Net Working Capital</t>
  </si>
  <si>
    <t>Current</t>
  </si>
  <si>
    <t>Market Capitalization</t>
  </si>
  <si>
    <t>Debt / Equity Ratio</t>
  </si>
  <si>
    <t>Debt / EBITDA Ratio</t>
  </si>
  <si>
    <t>Asset Turnover</t>
  </si>
  <si>
    <t>Inventory Turnover</t>
  </si>
  <si>
    <t>Total Equity</t>
  </si>
  <si>
    <t>Net Debt</t>
  </si>
  <si>
    <t>Q2 2024</t>
  </si>
  <si>
    <t>Q1 2024</t>
  </si>
  <si>
    <t>Q3 2023</t>
  </si>
  <si>
    <t>Q2 2023</t>
  </si>
  <si>
    <t>Q1 2023</t>
  </si>
  <si>
    <t>Q3 2022</t>
  </si>
  <si>
    <t>Q2 2022</t>
  </si>
  <si>
    <t>Q1 2022</t>
  </si>
  <si>
    <t>Q3 2021</t>
  </si>
  <si>
    <t>Q2 2021</t>
  </si>
  <si>
    <t>Q1 2021</t>
  </si>
  <si>
    <t>Revenue Growth (YoY)</t>
  </si>
  <si>
    <t>EBT Excluding Unusual Items</t>
  </si>
  <si>
    <t>Shares Change (YoY)</t>
  </si>
  <si>
    <t>Cash Growth</t>
  </si>
  <si>
    <t>Goodwill</t>
  </si>
  <si>
    <t>Current Income Taxes Payable</t>
  </si>
  <si>
    <t>Operating Cash Flow Growth</t>
  </si>
  <si>
    <t>Repurchase of Common Stock</t>
  </si>
  <si>
    <t>Foreign Exchange Rate Adjustments</t>
  </si>
  <si>
    <t>Free Cash Flow Growth</t>
  </si>
  <si>
    <t>Market Cap Growth</t>
  </si>
  <si>
    <t>Last Close Price</t>
  </si>
  <si>
    <t>EV/EBITDA Ratio</t>
  </si>
  <si>
    <t>EV/EBIT Ratio</t>
  </si>
  <si>
    <t>Debt / FCF Ratio</t>
  </si>
  <si>
    <t>Buyback Yield / Dilution</t>
  </si>
  <si>
    <t>Issuance of Common Stock</t>
  </si>
  <si>
    <t>Ticker</t>
  </si>
  <si>
    <t>Ind</t>
  </si>
  <si>
    <t>% Change</t>
  </si>
  <si>
    <t>52WLow</t>
  </si>
  <si>
    <t>52WHigh</t>
  </si>
  <si>
    <t>Volume</t>
  </si>
  <si>
    <t>Company</t>
  </si>
  <si>
    <t>Headquarters</t>
  </si>
  <si>
    <t>Founding</t>
  </si>
  <si>
    <t>Portfolio</t>
  </si>
  <si>
    <t>Research &amp; Development</t>
  </si>
  <si>
    <t>Sale of Property, Plant &amp; Equipment</t>
  </si>
  <si>
    <t>Other Operating Expenses</t>
  </si>
  <si>
    <t>Ticker-------------------&gt;</t>
  </si>
  <si>
    <t>Fair value</t>
  </si>
  <si>
    <t>Period Ending:</t>
  </si>
  <si>
    <t>LTM</t>
  </si>
  <si>
    <t xml:space="preserve">(Last Twelve Months) </t>
  </si>
  <si>
    <t>Report Filing</t>
  </si>
  <si>
    <t xml:space="preserve">Operating Expenses </t>
  </si>
  <si>
    <t>Selling, General and Administrative</t>
  </si>
  <si>
    <t>Net Non-Operating Interest</t>
  </si>
  <si>
    <t>Interest Income</t>
  </si>
  <si>
    <t>Equity &amp; Other Income/(Expense)</t>
  </si>
  <si>
    <t>Income Before Tax</t>
  </si>
  <si>
    <t>Income Attributable to Non-Controlling Interest</t>
  </si>
  <si>
    <t>Depreciation and Amortization</t>
  </si>
  <si>
    <t>Earnings Per Share (EPS)</t>
  </si>
  <si>
    <t>Diluted Earnings Per Share</t>
  </si>
  <si>
    <t>Weighted Average Shares Outstanding</t>
  </si>
  <si>
    <t>Diluted Weighted Average Shares Outstanding</t>
  </si>
  <si>
    <t>Report Filing:</t>
  </si>
  <si>
    <t>Cash and Short Term Investments</t>
  </si>
  <si>
    <t>Short Term Investments</t>
  </si>
  <si>
    <t>Total Non-Current Assets</t>
  </si>
  <si>
    <t>Property, Plant and Equipment</t>
  </si>
  <si>
    <t>Goodwill and Intangible Assets</t>
  </si>
  <si>
    <t>Intangible Assets</t>
  </si>
  <si>
    <t>Long Term Investments</t>
  </si>
  <si>
    <t>Deferred Tax Assets</t>
  </si>
  <si>
    <t>Other Long Term Assets</t>
  </si>
  <si>
    <t>Notes Payable/Short Term Debt</t>
  </si>
  <si>
    <t>Tax Payables</t>
  </si>
  <si>
    <t>Deferred Revenue</t>
  </si>
  <si>
    <t>Total Non-Current Liabilities</t>
  </si>
  <si>
    <t>Total Long Term Debt</t>
  </si>
  <si>
    <t>Deferred Tax Liabilities Non-Current</t>
  </si>
  <si>
    <t>Deferred Revenue Non-Current</t>
  </si>
  <si>
    <t>Capital Lease Obligations</t>
  </si>
  <si>
    <t>Other Long Term Liabilities</t>
  </si>
  <si>
    <t>Non-Controlling Interest</t>
  </si>
  <si>
    <t>Total Stockholders' Equity</t>
  </si>
  <si>
    <t>Accumulated Other Earnings</t>
  </si>
  <si>
    <t>Preferred Stock</t>
  </si>
  <si>
    <t>Additional Paid in Capital</t>
  </si>
  <si>
    <t>Total Liabilities &amp; Total Equity</t>
  </si>
  <si>
    <t>Total Liabilities &amp; Shareholders' Equity</t>
  </si>
  <si>
    <t>Total Investments</t>
  </si>
  <si>
    <t>Net Income/Starting Line</t>
  </si>
  <si>
    <t>Cash From Operating Activities</t>
  </si>
  <si>
    <t>Deferred Income Tax</t>
  </si>
  <si>
    <t>Stock Based Compensation</t>
  </si>
  <si>
    <t>Other Non-Cash Items</t>
  </si>
  <si>
    <t>Changes in Working Capital</t>
  </si>
  <si>
    <t>Accounts Receivable</t>
  </si>
  <si>
    <t>Other Working Capital</t>
  </si>
  <si>
    <t>Cash From Investing Activities</t>
  </si>
  <si>
    <t>Investments in Property Plant and Equipment</t>
  </si>
  <si>
    <t>Payments for Acquisitions</t>
  </si>
  <si>
    <t>Purchases of Securities</t>
  </si>
  <si>
    <t>Sales and Maturities of Investments</t>
  </si>
  <si>
    <t>Cash From Financing Activities</t>
  </si>
  <si>
    <t>Debt Repayment</t>
  </si>
  <si>
    <t>Common Stock Issued</t>
  </si>
  <si>
    <t>Common Stock Repurchased</t>
  </si>
  <si>
    <t>Dividends Paid</t>
  </si>
  <si>
    <t>Effect of Forex Changes on Cash</t>
  </si>
  <si>
    <t>Net Change in Cash</t>
  </si>
  <si>
    <t>Cash at Beginning of Period</t>
  </si>
  <si>
    <t>Cash at End of Period</t>
  </si>
  <si>
    <t>Capital Expenditure</t>
  </si>
  <si>
    <t>Price Ratios</t>
  </si>
  <si>
    <t xml:space="preserve">Price to Earnings Ratio </t>
  </si>
  <si>
    <t xml:space="preserve">Price to Sales Ratio </t>
  </si>
  <si>
    <t xml:space="preserve">Price to Book Ratio </t>
  </si>
  <si>
    <t xml:space="preserve">Price to Free Cash Flow Ratio </t>
  </si>
  <si>
    <t xml:space="preserve">Price to Operating Cash Flow Ratio </t>
  </si>
  <si>
    <t xml:space="preserve">Price Earnings to Growth Ratio </t>
  </si>
  <si>
    <t xml:space="preserve">EV to EBITDA </t>
  </si>
  <si>
    <t>Liquidity Ratios</t>
  </si>
  <si>
    <t xml:space="preserve">Cash Ratio </t>
  </si>
  <si>
    <t xml:space="preserve">Debt Ratio </t>
  </si>
  <si>
    <t xml:space="preserve">Debt to Equity Ratio </t>
  </si>
  <si>
    <t xml:space="preserve">Long Term Debt to Capitalization </t>
  </si>
  <si>
    <t xml:space="preserve">Total Debt to Capitalization </t>
  </si>
  <si>
    <t xml:space="preserve">Interest Coverage Ratio </t>
  </si>
  <si>
    <t xml:space="preserve">Cash Flow to Debt Ratio </t>
  </si>
  <si>
    <t>Margins</t>
  </si>
  <si>
    <t xml:space="preserve">Gross Profit Margin </t>
  </si>
  <si>
    <t xml:space="preserve">Operating Profit Margin </t>
  </si>
  <si>
    <t xml:space="preserve">Pretax Profit Margin </t>
  </si>
  <si>
    <t xml:space="preserve">Net Profit Margin </t>
  </si>
  <si>
    <t xml:space="preserve">Operating Cash Flow Margin </t>
  </si>
  <si>
    <t xml:space="preserve">Free Cash Flow Margin </t>
  </si>
  <si>
    <t>Return</t>
  </si>
  <si>
    <t xml:space="preserve">Return on Assets </t>
  </si>
  <si>
    <t xml:space="preserve">Return on Equity </t>
  </si>
  <si>
    <t xml:space="preserve">Return on Capital Employed </t>
  </si>
  <si>
    <t xml:space="preserve">Return on Invested Capital </t>
  </si>
  <si>
    <t>Turnover Ratios</t>
  </si>
  <si>
    <t xml:space="preserve">Receivables Turnover Ratio </t>
  </si>
  <si>
    <t xml:space="preserve">Payables Turnover Ratio </t>
  </si>
  <si>
    <t xml:space="preserve">Inventory Turnover Ratio </t>
  </si>
  <si>
    <t xml:space="preserve">Fixed Asset Turnover Ratio </t>
  </si>
  <si>
    <t xml:space="preserve">Asset Turnover Ratio </t>
  </si>
  <si>
    <r>
      <t>Per Share Items (</t>
    </r>
    <r>
      <rPr>
        <sz val="12"/>
        <color theme="1"/>
        <rFont val="Aptos Narrow"/>
        <family val="2"/>
        <scheme val="minor"/>
      </rPr>
      <t>)</t>
    </r>
  </si>
  <si>
    <t>Revenue Per Share</t>
  </si>
  <si>
    <t>Operating Cash Flow Per Share</t>
  </si>
  <si>
    <t>Cash &amp; Short Term Investments</t>
  </si>
  <si>
    <t>Earnings Per Share</t>
  </si>
  <si>
    <t>EBITDA Per Share</t>
  </si>
  <si>
    <t xml:space="preserve">Enterprise Value Per Share </t>
  </si>
  <si>
    <t>Price Per Share</t>
  </si>
  <si>
    <t xml:space="preserve">Short Term Coverage Ratio </t>
  </si>
  <si>
    <t xml:space="preserve">Capital Expenditure Coverage Ratio </t>
  </si>
  <si>
    <t xml:space="preserve">EBIT Per Revenue </t>
  </si>
  <si>
    <t xml:space="preserve">EBITDA Per Revenue </t>
  </si>
  <si>
    <t xml:space="preserve">Days of Sales Outstanding </t>
  </si>
  <si>
    <t xml:space="preserve">Days of Inventory Outstanding </t>
  </si>
  <si>
    <t xml:space="preserve">Days of Payables Outstanding </t>
  </si>
  <si>
    <t xml:space="preserve">Cash Conversion Cycle </t>
  </si>
  <si>
    <t xml:space="preserve">Cash Conversion Ratio </t>
  </si>
  <si>
    <t xml:space="preserve">Free Cash Flow to Earnings </t>
  </si>
  <si>
    <t>Other Non Operating Income (Expenses)</t>
  </si>
  <si>
    <t>Change in Accounts Receivable</t>
  </si>
  <si>
    <t>Cash Flow</t>
  </si>
  <si>
    <t>Cash from operating activities</t>
  </si>
  <si>
    <t>ROE</t>
  </si>
  <si>
    <t>ROA</t>
  </si>
  <si>
    <t>ROIC</t>
  </si>
  <si>
    <t>ROCE</t>
  </si>
  <si>
    <t>PS</t>
  </si>
  <si>
    <t>PB</t>
  </si>
  <si>
    <t>P/FCF</t>
  </si>
  <si>
    <t>P/OCF</t>
  </si>
  <si>
    <t>PEG</t>
  </si>
  <si>
    <t>Debt to Ebitda Ratio</t>
  </si>
  <si>
    <t>Debt to FCF Ratio</t>
  </si>
  <si>
    <t>Return Margins</t>
  </si>
  <si>
    <t>Debt Ratios</t>
  </si>
  <si>
    <t>Funds</t>
  </si>
  <si>
    <t>Insiders</t>
  </si>
  <si>
    <t>Towle</t>
  </si>
  <si>
    <t>Ticker ----------&gt;</t>
  </si>
  <si>
    <t>Other Intangible Assets</t>
  </si>
  <si>
    <t>Current Portion of Long-Term Debt</t>
  </si>
  <si>
    <t>Long-Term Deferred Tax Liabilities</t>
  </si>
  <si>
    <t>avg g</t>
  </si>
  <si>
    <t>1yGrowth</t>
  </si>
  <si>
    <t>5yGrowth</t>
  </si>
  <si>
    <t>10yGrowth</t>
  </si>
  <si>
    <t>Equity Multiplier</t>
  </si>
  <si>
    <t>Shareholders' equity</t>
  </si>
  <si>
    <t xml:space="preserve">Annual Dividend Yield </t>
  </si>
  <si>
    <t>P/TBV Ratio</t>
  </si>
  <si>
    <t>Employee Count</t>
  </si>
  <si>
    <t>Dec '23 Dec 31, 2023</t>
  </si>
  <si>
    <t>Jun '24 Jun 30, 2024</t>
  </si>
  <si>
    <t>Mar '24 Mar 31, 2024</t>
  </si>
  <si>
    <t>FY 2025</t>
  </si>
  <si>
    <t>Jun '23 Jun 30, 2023</t>
  </si>
  <si>
    <t>Jun '22 Jun 30, 2022</t>
  </si>
  <si>
    <t>Jun '21 Jun 30, 2021</t>
  </si>
  <si>
    <t>Long-Term Debt Issued</t>
  </si>
  <si>
    <t>Dec '24 Dec 31, 2024</t>
  </si>
  <si>
    <t>Sep '24 Sep 30, 2024</t>
  </si>
  <si>
    <t>Sep '23 Sep 30, 2023</t>
  </si>
  <si>
    <t>Mar '23 Mar 31, 2023</t>
  </si>
  <si>
    <t>Dec '22 Dec 31, 2022</t>
  </si>
  <si>
    <t>Sep '22 Sep 30, 2022</t>
  </si>
  <si>
    <t>Mar '22 Mar 31, 2022</t>
  </si>
  <si>
    <t>Dec '21 Dec 31, 2021</t>
  </si>
  <si>
    <t>Sep '21 Sep 30, 2021</t>
  </si>
  <si>
    <t>Mar '21 Mar 31, 2021</t>
  </si>
  <si>
    <t>Dec '20 Dec 31, 2020</t>
  </si>
  <si>
    <t>Sep '20 Sep 30, 2020</t>
  </si>
  <si>
    <t>Currency Exchange Gain (Loss)</t>
  </si>
  <si>
    <t>Loss (Gain) From Sale of Assets</t>
  </si>
  <si>
    <t>Prepaid Expenses</t>
  </si>
  <si>
    <t>Investment in Securities</t>
  </si>
  <si>
    <t>Long-Term Deferred Tax Assets</t>
  </si>
  <si>
    <t>Q1 2025</t>
  </si>
  <si>
    <t>Mar '25 Mar 31, 2025</t>
  </si>
  <si>
    <t>PEG Ratio</t>
  </si>
  <si>
    <t>Dividend Yield</t>
  </si>
  <si>
    <t>Payout Ratio</t>
  </si>
  <si>
    <t>Earnings Date</t>
  </si>
  <si>
    <t>Ex-Dividend Date</t>
  </si>
  <si>
    <t>Current Share Class</t>
  </si>
  <si>
    <t>Shares Outstanding</t>
  </si>
  <si>
    <t>Shares Change (QoQ)</t>
  </si>
  <si>
    <t>Owned by Insiders (%)</t>
  </si>
  <si>
    <t>Owned by Institutions (%)</t>
  </si>
  <si>
    <t>Float</t>
  </si>
  <si>
    <t>Return on Invested Capital (ROIC)</t>
  </si>
  <si>
    <t>Revenue Per Employee</t>
  </si>
  <si>
    <t>Profits Per Employee</t>
  </si>
  <si>
    <t>Income Tax</t>
  </si>
  <si>
    <t>Beta (5Y)</t>
  </si>
  <si>
    <t>52-Week Price Change</t>
  </si>
  <si>
    <t>50-Day Moving Average</t>
  </si>
  <si>
    <t>200-Day Moving Average</t>
  </si>
  <si>
    <t>Relative Strength Index (RSI)</t>
  </si>
  <si>
    <t>Average Volume (20 Days)</t>
  </si>
  <si>
    <t>Short Interest</t>
  </si>
  <si>
    <t>Short Previous Month</t>
  </si>
  <si>
    <t>Short % of Shares Out</t>
  </si>
  <si>
    <t>Short % of Float</t>
  </si>
  <si>
    <t>Short Ratio (days to cover)</t>
  </si>
  <si>
    <t>Cash &amp; Cash Equivalents</t>
  </si>
  <si>
    <t>Net Cash</t>
  </si>
  <si>
    <t>Equity (Book Value)</t>
  </si>
  <si>
    <t>FCF Per Share</t>
  </si>
  <si>
    <t>Pretax Margin</t>
  </si>
  <si>
    <t>FCF Margin</t>
  </si>
  <si>
    <t>Dividend Growth (YoY)</t>
  </si>
  <si>
    <t>Years of Dividend Growth</t>
  </si>
  <si>
    <t>Buyback Yield</t>
  </si>
  <si>
    <t>Shareholder Yield</t>
  </si>
  <si>
    <t>Last Split Date</t>
  </si>
  <si>
    <t>Split Type</t>
  </si>
  <si>
    <t>Split Ratio</t>
  </si>
  <si>
    <t>Altman Z-Score</t>
  </si>
  <si>
    <t>Piotroski F-Score</t>
  </si>
  <si>
    <t>+20 Quarters</t>
  </si>
  <si>
    <t>Merger &amp; Restructuring Charges</t>
  </si>
  <si>
    <t>Other Unusual Items</t>
  </si>
  <si>
    <t>Long-Term Investments</t>
  </si>
  <si>
    <t>Land</t>
  </si>
  <si>
    <t>Construction In Progress</t>
  </si>
  <si>
    <t>Asset Writedown &amp; Restructuring Costs</t>
  </si>
  <si>
    <t>Q2 2025</t>
  </si>
  <si>
    <t>Net Income Growth</t>
  </si>
  <si>
    <t>Buildings</t>
  </si>
  <si>
    <t>Cash Acquisitions</t>
  </si>
  <si>
    <t>Gain (Loss) on Sale of Investments</t>
  </si>
  <si>
    <t>Dividend Growth</t>
  </si>
  <si>
    <t>Common Dividends Paid</t>
  </si>
  <si>
    <t>Total Shareholder Return</t>
  </si>
  <si>
    <t>Lynch Fair Value</t>
  </si>
  <si>
    <t>Lynch Upside</t>
  </si>
  <si>
    <t>Graham Number</t>
  </si>
  <si>
    <t>Graham Upside</t>
  </si>
  <si>
    <t>Gain (Loss) on Sale of Assets</t>
  </si>
  <si>
    <t>Q4 2020</t>
  </si>
  <si>
    <t>Other Receivables</t>
  </si>
  <si>
    <t>Preferred Dividends &amp; Other Adjustments</t>
  </si>
  <si>
    <t>Q3 2020</t>
  </si>
  <si>
    <t>Earnings From Equity Investments</t>
  </si>
  <si>
    <t>Asset Writedown</t>
  </si>
  <si>
    <t>Earnings From Continuing Operations</t>
  </si>
  <si>
    <t>Net Income to Company</t>
  </si>
  <si>
    <t>Minority Interest in Earnings</t>
  </si>
  <si>
    <t>Long-Term Unearned Revenue</t>
  </si>
  <si>
    <t>Total Common Equity</t>
  </si>
  <si>
    <t>Minority Interest</t>
  </si>
  <si>
    <t>Loss (Gain) on Equity Investments</t>
  </si>
  <si>
    <t>Divestitures</t>
  </si>
  <si>
    <t>Dividend Ratios</t>
  </si>
  <si>
    <t xml:space="preserve">Dividend Payout Ratio </t>
  </si>
  <si>
    <t>May '25</t>
  </si>
  <si>
    <t>Jun '25</t>
  </si>
  <si>
    <t>Jul '25</t>
  </si>
  <si>
    <t>Maintains</t>
  </si>
  <si>
    <t>FY 2026</t>
  </si>
  <si>
    <t>FY 2027</t>
  </si>
  <si>
    <t>Legal Settlements</t>
  </si>
  <si>
    <t>Loss (Gain) From Sale of Investments</t>
  </si>
  <si>
    <t>Preferred Dividends Paid</t>
  </si>
  <si>
    <t>Jun '25 Jun 30, 2025</t>
  </si>
  <si>
    <t>alb</t>
  </si>
  <si>
    <t>Impairment of Goodwill</t>
  </si>
  <si>
    <t>Aug '25 Aug 1, 2025</t>
  </si>
  <si>
    <t>Current Unearned Revenue</t>
  </si>
  <si>
    <t>Change in Working Capital</t>
  </si>
  <si>
    <t>Aug '25</t>
  </si>
  <si>
    <t>Sep '25</t>
  </si>
  <si>
    <t>P&amp;L</t>
  </si>
  <si>
    <t>P&amp;L %</t>
  </si>
  <si>
    <t>Past Port</t>
  </si>
  <si>
    <t>META</t>
  </si>
  <si>
    <t>Date Bought</t>
  </si>
  <si>
    <t>Date Sold</t>
  </si>
  <si>
    <t>Purchase Price</t>
  </si>
  <si>
    <t>Sale Price</t>
  </si>
  <si>
    <t>Amount Bought</t>
  </si>
  <si>
    <t xml:space="preserve">How I invest: </t>
  </si>
  <si>
    <t xml:space="preserve">2. Since I don’t use leverage, including margin, I don't short, although I have considered it many times.  </t>
  </si>
  <si>
    <t xml:space="preserve">3. I buy companies I think are fundementally undervalued. I use their financial statements, news, macro data, and analyst reports to make sound investment decisions. </t>
  </si>
  <si>
    <t xml:space="preserve">4. I never make a position more than 10% of my overall capital, but I generally hover around 5%. </t>
  </si>
  <si>
    <t>1. I am pretty risk averse. I don't like leverage, so I don’t deal withl options, nor do I use margin on any of my trading accounts.</t>
  </si>
  <si>
    <t>Watchlist</t>
  </si>
  <si>
    <t xml:space="preserve">5. I generally focus on Industrial, Technology, and Consumer Goods sectors. </t>
  </si>
  <si>
    <t>CapEx</t>
  </si>
  <si>
    <t>NOPAT</t>
  </si>
  <si>
    <t>FCF</t>
  </si>
  <si>
    <t>Beta</t>
  </si>
  <si>
    <t>Rj</t>
  </si>
  <si>
    <t>Rm</t>
  </si>
  <si>
    <t>We</t>
  </si>
  <si>
    <t>Wd</t>
  </si>
  <si>
    <t>Re</t>
  </si>
  <si>
    <t>TV</t>
  </si>
  <si>
    <t>Fair Value</t>
  </si>
  <si>
    <t>Oct '25</t>
  </si>
  <si>
    <t>DeltaNWC</t>
  </si>
  <si>
    <t>D&amp;A</t>
  </si>
  <si>
    <t>PVFCF</t>
  </si>
  <si>
    <t>Rd(1-t)</t>
  </si>
  <si>
    <t>Discount Rate</t>
  </si>
  <si>
    <t>PVSUM</t>
  </si>
  <si>
    <t>PVTV</t>
  </si>
  <si>
    <t>Equity Val</t>
  </si>
  <si>
    <t>Oct '25 Oct 24, 2025</t>
  </si>
  <si>
    <t>Q3 2025</t>
  </si>
  <si>
    <t>Pension &amp; Post-Retirement Benefits</t>
  </si>
  <si>
    <t>Treasury Stock</t>
  </si>
  <si>
    <t>Q1 2026</t>
  </si>
  <si>
    <t>Q4 2025</t>
  </si>
  <si>
    <t>nvda</t>
  </si>
  <si>
    <t>Q2 2026</t>
  </si>
  <si>
    <t>Jul '25 Jul 27, 2025</t>
  </si>
  <si>
    <t>Apr '25 Apr 27, 2025</t>
  </si>
  <si>
    <t>Jan '25 Jan 26, 2025</t>
  </si>
  <si>
    <t>Oct '24 Oct 27, 2024</t>
  </si>
  <si>
    <t>Jul '24 Jul 28, 2024</t>
  </si>
  <si>
    <t>Apr '24 Apr 28, 2024</t>
  </si>
  <si>
    <t>Jan '24 Jan 28, 2024</t>
  </si>
  <si>
    <t>Oct '23 Oct 29, 2023</t>
  </si>
  <si>
    <t>Jul '23 Jul 30, 2023</t>
  </si>
  <si>
    <t>Apr '23 Apr 30, 2023</t>
  </si>
  <si>
    <t>Jan '23 Jan 29, 2023</t>
  </si>
  <si>
    <t>Oct '22 Oct 30, 2022</t>
  </si>
  <si>
    <t>Jul '22 Jul 31, 2022</t>
  </si>
  <si>
    <t>May '22 May 1, 2022</t>
  </si>
  <si>
    <t>Jan '22 Jan 30, 2022</t>
  </si>
  <si>
    <t>Oct '21 Oct 31, 2021</t>
  </si>
  <si>
    <t>Aug '21 Aug 1, 2021</t>
  </si>
  <si>
    <t>May '21 May 2, 2021</t>
  </si>
  <si>
    <t>Jan '21 Jan 31, 2021</t>
  </si>
  <si>
    <t>Oct '20 Oct 25, 2020</t>
  </si>
  <si>
    <t>Short-Term Investments</t>
  </si>
  <si>
    <t>Restricted Cash</t>
  </si>
  <si>
    <t>Net Cash Growth</t>
  </si>
  <si>
    <t>4.53T</t>
  </si>
  <si>
    <t>4.48T</t>
  </si>
  <si>
    <t>24.30B</t>
  </si>
  <si>
    <t>23.33B</t>
  </si>
  <si>
    <t>$4.59M</t>
  </si>
  <si>
    <t>$2.41M</t>
  </si>
  <si>
    <t>14.05B</t>
  </si>
  <si>
    <t>210.96M</t>
  </si>
  <si>
    <t>226.77M</t>
  </si>
  <si>
    <t>165.22B</t>
  </si>
  <si>
    <t>115.40B</t>
  </si>
  <si>
    <t>95.98B</t>
  </si>
  <si>
    <t>100.65B</t>
  </si>
  <si>
    <t>86.60B</t>
  </si>
  <si>
    <t>98.28B</t>
  </si>
  <si>
    <t>56.79B</t>
  </si>
  <si>
    <t>10.60B</t>
  </si>
  <si>
    <t>46.19B</t>
  </si>
  <si>
    <t>100.13B</t>
  </si>
  <si>
    <t>77.96B</t>
  </si>
  <si>
    <t>77.04B</t>
  </si>
  <si>
    <t>-5.01B</t>
  </si>
  <si>
    <t>72.02B</t>
  </si>
  <si>
    <t>Forward</t>
  </si>
  <si>
    <t>Frank Lee</t>
  </si>
  <si>
    <t>HSBC</t>
  </si>
  <si>
    <r>
      <t>Hold</t>
    </r>
    <r>
      <rPr>
        <sz val="12"/>
        <color theme="1"/>
        <rFont val="Aptos Narrow"/>
        <family val="2"/>
        <scheme val="minor"/>
      </rPr>
      <t xml:space="preserve"> → </t>
    </r>
    <r>
      <rPr>
        <sz val="10"/>
        <color theme="1"/>
        <rFont val="Aptos Narrow"/>
        <family val="2"/>
        <scheme val="minor"/>
      </rPr>
      <t>Strong Buy</t>
    </r>
  </si>
  <si>
    <t>Upgrades</t>
  </si>
  <si>
    <t>$200 → $320</t>
  </si>
  <si>
    <t>Vijay Rakesh</t>
  </si>
  <si>
    <t>Mizuho</t>
  </si>
  <si>
    <t>$205 → $225</t>
  </si>
  <si>
    <t>C.J. Muse</t>
  </si>
  <si>
    <t>Cantor Fitzgerald</t>
  </si>
  <si>
    <t>$240 → $300</t>
  </si>
  <si>
    <t>Reiterates</t>
  </si>
  <si>
    <t>John Vinh</t>
  </si>
  <si>
    <t>Keybanc</t>
  </si>
  <si>
    <t>$230 → $250</t>
  </si>
  <si>
    <t>FY 2028</t>
  </si>
  <si>
    <t>FY 2029</t>
  </si>
  <si>
    <t>FY 2030</t>
  </si>
  <si>
    <t>16.68B</t>
  </si>
  <si>
    <t>26.91B</t>
  </si>
  <si>
    <t>26.97B</t>
  </si>
  <si>
    <t>60.92B</t>
  </si>
  <si>
    <t>130.50B</t>
  </si>
  <si>
    <t>210.54B</t>
  </si>
  <si>
    <t>284.00B</t>
  </si>
  <si>
    <t>236.2B</t>
  </si>
  <si>
    <t>392.7B</t>
  </si>
  <si>
    <t>Pro</t>
  </si>
  <si>
    <t>210.5B</t>
  </si>
  <si>
    <t>284.0B</t>
  </si>
  <si>
    <t>189.7B</t>
  </si>
  <si>
    <t>242.7B</t>
  </si>
  <si>
    <t>WACC Calculator</t>
  </si>
  <si>
    <t>WACC</t>
  </si>
  <si>
    <t>Point In Time % of Revenue Values</t>
  </si>
  <si>
    <t>Revenue Growth YoY</t>
  </si>
  <si>
    <t>Rev growth</t>
  </si>
  <si>
    <t>Terminal Growth</t>
  </si>
  <si>
    <t>Variables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</si>
</sst>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_([$$-409]* #,##0.00_);_([$$-409]* \(#,##0.00\);_([$$-409]* &quot;-&quot;??_);_(@_)"/>
    <numFmt numFmtId="165" formatCode="_([$$-409]* #,##0_);_([$$-409]* \(#,##0\);_([$$-409]* &quot;-&quot;_);_(@_)"/>
  </numFmts>
  <fonts count="21" x14ac:knownFonts="1">
    <font>
      <sz val="12"/>
      <color theme="1"/>
      <name val="Aptos Narrow"/>
      <family val="2"/>
      <scheme val="minor"/>
    </font>
    <font>
      <sz val="10"/>
      <color theme="1"/>
      <name val="Aptos Narrow"/>
      <family val="2"/>
      <scheme val="minor"/>
    </font>
    <font>
      <b/>
      <sz val="10"/>
      <color theme="1"/>
      <name val="Aptos Narrow"/>
      <family val="2"/>
      <scheme val="minor"/>
    </font>
    <font>
      <u/>
      <sz val="12"/>
      <color theme="10"/>
      <name val="Aptos Narrow"/>
      <family val="2"/>
      <scheme val="minor"/>
    </font>
    <font>
      <b/>
      <sz val="14"/>
      <color theme="1"/>
      <name val="Aptos Narrow"/>
      <scheme val="minor"/>
    </font>
    <font>
      <sz val="12"/>
      <color rgb="FF000000"/>
      <name val="Aptos Narrow"/>
      <family val="2"/>
      <scheme val="minor"/>
    </font>
    <font>
      <sz val="12"/>
      <color theme="1"/>
      <name val="Aptos Narrow"/>
      <scheme val="minor"/>
    </font>
    <font>
      <b/>
      <sz val="12"/>
      <color theme="1"/>
      <name val="Aptos Narrow"/>
      <scheme val="minor"/>
    </font>
    <font>
      <b/>
      <sz val="12"/>
      <color theme="0"/>
      <name val="Aptos Narrow"/>
      <family val="2"/>
      <scheme val="minor"/>
    </font>
    <font>
      <sz val="11"/>
      <color theme="1"/>
      <name val="Aptos Narrow"/>
      <scheme val="minor"/>
    </font>
    <font>
      <sz val="11"/>
      <color theme="1"/>
      <name val="Aptos Narrow"/>
      <family val="2"/>
      <scheme val="minor"/>
    </font>
    <font>
      <b/>
      <sz val="12"/>
      <color theme="1"/>
      <name val="Aptos Narrow"/>
      <family val="2"/>
      <scheme val="minor"/>
    </font>
    <font>
      <b/>
      <sz val="8"/>
      <color theme="1"/>
      <name val="Aptos Narrow"/>
      <family val="2"/>
      <scheme val="minor"/>
    </font>
    <font>
      <sz val="10"/>
      <color theme="1"/>
      <name val="Aptos Narrow"/>
      <scheme val="minor"/>
    </font>
    <font>
      <b/>
      <sz val="11"/>
      <color theme="1"/>
      <name val="Aptos Narrow"/>
      <scheme val="minor"/>
    </font>
    <font>
      <b/>
      <sz val="10"/>
      <color theme="1"/>
      <name val="Aptos Narrow"/>
      <scheme val="minor"/>
    </font>
    <font>
      <b/>
      <sz val="11"/>
      <color rgb="FF000000"/>
      <name val="Aptos Narrow"/>
      <scheme val="minor"/>
    </font>
    <font>
      <sz val="10"/>
      <color rgb="FF000000"/>
      <name val="Aptos Narrow"/>
      <family val="2"/>
      <scheme val="minor"/>
    </font>
    <font>
      <sz val="10"/>
      <color rgb="FF000000"/>
      <name val="Aptos Narrow"/>
      <scheme val="minor"/>
    </font>
    <font>
      <sz val="12"/>
      <color theme="0"/>
      <name val="Aptos Narrow"/>
      <family val="2"/>
      <scheme val="minor"/>
    </font>
    <font>
      <sz val="12"/>
      <color theme="0"/>
      <name val="Aptos Narrow (Body)"/>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9"/>
        <bgColor indexed="64"/>
      </patternFill>
    </fill>
    <fill>
      <patternFill patternType="solid">
        <fgColor theme="4"/>
        <bgColor theme="4"/>
      </patternFill>
    </fill>
  </fills>
  <borders count="2">
    <border>
      <left/>
      <right/>
      <top/>
      <bottom/>
      <diagonal/>
    </border>
    <border>
      <left/>
      <right/>
      <top style="thin">
        <color theme="4"/>
      </top>
      <bottom/>
      <diagonal/>
    </border>
  </borders>
  <cellStyleXfs count="2">
    <xf numFmtId="0" fontId="0" fillId="0" borderId="0"/>
    <xf numFmtId="0" fontId="3" fillId="0" borderId="0" applyNumberFormat="0" applyFill="0" applyBorder="0" applyAlignment="0" applyProtection="0"/>
  </cellStyleXfs>
  <cellXfs count="90">
    <xf numFmtId="0" fontId="0" fillId="0" borderId="0" xfId="0"/>
    <xf numFmtId="0" fontId="2"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10" fontId="1" fillId="0" borderId="0" xfId="0" applyNumberFormat="1" applyFont="1" applyAlignment="1">
      <alignment vertical="center" wrapText="1"/>
    </xf>
    <xf numFmtId="0" fontId="0" fillId="2" borderId="0" xfId="0" applyFill="1"/>
    <xf numFmtId="0" fontId="4" fillId="0" borderId="0" xfId="0" applyFont="1"/>
    <xf numFmtId="0" fontId="0" fillId="3" borderId="0" xfId="0" applyFill="1"/>
    <xf numFmtId="0" fontId="6" fillId="0" borderId="0" xfId="0" applyFont="1"/>
    <xf numFmtId="0" fontId="7" fillId="0" borderId="0" xfId="0" applyFont="1"/>
    <xf numFmtId="0" fontId="0" fillId="4" borderId="0" xfId="0" applyFill="1"/>
    <xf numFmtId="0" fontId="3" fillId="0" borderId="0" xfId="1" applyAlignment="1">
      <alignment vertical="center" wrapText="1"/>
    </xf>
    <xf numFmtId="10" fontId="0" fillId="0" borderId="0" xfId="0" applyNumberFormat="1"/>
    <xf numFmtId="0" fontId="7" fillId="2" borderId="0" xfId="0" applyFont="1" applyFill="1"/>
    <xf numFmtId="0" fontId="4" fillId="2" borderId="0" xfId="0" applyFont="1" applyFill="1"/>
    <xf numFmtId="15" fontId="1" fillId="0" borderId="0" xfId="0" applyNumberFormat="1" applyFont="1" applyAlignment="1">
      <alignment vertical="center" wrapText="1"/>
    </xf>
    <xf numFmtId="8" fontId="1" fillId="0" borderId="0" xfId="0" applyNumberFormat="1" applyFont="1" applyAlignment="1">
      <alignment vertical="center" wrapText="1"/>
    </xf>
    <xf numFmtId="6" fontId="1" fillId="0" borderId="0" xfId="0" applyNumberFormat="1" applyFont="1" applyAlignment="1">
      <alignment vertical="center" wrapText="1"/>
    </xf>
    <xf numFmtId="15" fontId="2" fillId="0" borderId="0" xfId="0" applyNumberFormat="1" applyFont="1" applyAlignment="1">
      <alignment horizontal="center" vertical="center" wrapText="1"/>
    </xf>
    <xf numFmtId="0" fontId="1" fillId="2" borderId="0" xfId="0" applyFont="1" applyFill="1" applyAlignment="1">
      <alignment vertical="center" wrapText="1"/>
    </xf>
    <xf numFmtId="8" fontId="0" fillId="2" borderId="0" xfId="0" applyNumberFormat="1" applyFill="1"/>
    <xf numFmtId="6" fontId="0" fillId="2" borderId="0" xfId="0" applyNumberFormat="1" applyFill="1"/>
    <xf numFmtId="0" fontId="2" fillId="2" borderId="0" xfId="0" applyFont="1" applyFill="1" applyAlignment="1">
      <alignment horizontal="center" vertical="center" wrapText="1"/>
    </xf>
    <xf numFmtId="10" fontId="0" fillId="2" borderId="0" xfId="0" applyNumberFormat="1" applyFill="1"/>
    <xf numFmtId="0" fontId="5" fillId="0" borderId="0" xfId="0" applyFont="1"/>
    <xf numFmtId="0" fontId="5" fillId="2" borderId="0" xfId="0" applyFont="1" applyFill="1"/>
    <xf numFmtId="164" fontId="0" fillId="0" borderId="0" xfId="0" applyNumberFormat="1"/>
    <xf numFmtId="165" fontId="0" fillId="0" borderId="0" xfId="0" applyNumberFormat="1"/>
    <xf numFmtId="0" fontId="10" fillId="0" borderId="0" xfId="0" applyFont="1"/>
    <xf numFmtId="0" fontId="10" fillId="2" borderId="0" xfId="0" applyFont="1" applyFill="1"/>
    <xf numFmtId="3" fontId="10" fillId="2" borderId="0" xfId="0" applyNumberFormat="1" applyFont="1" applyFill="1"/>
    <xf numFmtId="0" fontId="10" fillId="2" borderId="0" xfId="0" applyFont="1" applyFill="1" applyAlignment="1">
      <alignment vertical="center" wrapText="1"/>
    </xf>
    <xf numFmtId="0" fontId="8" fillId="5" borderId="0" xfId="0" applyFont="1" applyFill="1"/>
    <xf numFmtId="0" fontId="0" fillId="0" borderId="1" xfId="0" applyBorder="1"/>
    <xf numFmtId="2" fontId="0" fillId="0" borderId="0" xfId="0" applyNumberFormat="1"/>
    <xf numFmtId="0" fontId="9" fillId="3" borderId="0" xfId="0" applyFont="1" applyFill="1"/>
    <xf numFmtId="0" fontId="12" fillId="0" borderId="0" xfId="0" applyFont="1" applyAlignment="1">
      <alignment horizontal="center" vertical="center" wrapText="1"/>
    </xf>
    <xf numFmtId="16" fontId="12" fillId="0" borderId="0" xfId="0" applyNumberFormat="1" applyFont="1" applyAlignment="1">
      <alignment horizontal="center" vertical="center" wrapText="1"/>
    </xf>
    <xf numFmtId="0" fontId="1" fillId="0" borderId="0" xfId="0" applyFont="1" applyAlignment="1">
      <alignment vertical="center"/>
    </xf>
    <xf numFmtId="14" fontId="3" fillId="0" borderId="0" xfId="1" applyNumberFormat="1" applyAlignment="1">
      <alignment vertical="center" wrapText="1"/>
    </xf>
    <xf numFmtId="0" fontId="2" fillId="0" borderId="0" xfId="0" applyFont="1" applyAlignment="1">
      <alignment vertical="center"/>
    </xf>
    <xf numFmtId="0" fontId="2" fillId="0" borderId="0" xfId="0" applyFont="1" applyAlignment="1">
      <alignment vertical="center" wrapText="1"/>
    </xf>
    <xf numFmtId="0" fontId="1" fillId="2" borderId="0" xfId="0" applyFont="1" applyFill="1" applyAlignment="1">
      <alignment vertical="center"/>
    </xf>
    <xf numFmtId="0" fontId="9" fillId="2" borderId="0" xfId="0" applyFont="1" applyFill="1"/>
    <xf numFmtId="0" fontId="9" fillId="2" borderId="0" xfId="0" applyFont="1" applyFill="1" applyAlignment="1">
      <alignment vertical="center" wrapText="1"/>
    </xf>
    <xf numFmtId="0" fontId="11" fillId="2" borderId="0" xfId="0" applyFont="1" applyFill="1"/>
    <xf numFmtId="0" fontId="1" fillId="0" borderId="0" xfId="0" applyFont="1"/>
    <xf numFmtId="0" fontId="13" fillId="0" borderId="0" xfId="0" applyFont="1"/>
    <xf numFmtId="0" fontId="13" fillId="0" borderId="0" xfId="0" applyFont="1" applyAlignment="1">
      <alignment vertical="center" wrapText="1"/>
    </xf>
    <xf numFmtId="0" fontId="14" fillId="0" borderId="0" xfId="0" applyFont="1"/>
    <xf numFmtId="0" fontId="14" fillId="0" borderId="0" xfId="0" applyFont="1" applyAlignment="1">
      <alignment vertical="center" wrapText="1"/>
    </xf>
    <xf numFmtId="0" fontId="13" fillId="2" borderId="0" xfId="0" applyFont="1" applyFill="1"/>
    <xf numFmtId="0" fontId="15" fillId="2" borderId="0" xfId="0" applyFont="1" applyFill="1"/>
    <xf numFmtId="0" fontId="13" fillId="2" borderId="0" xfId="0" applyFont="1" applyFill="1" applyAlignment="1">
      <alignment vertical="center" wrapText="1"/>
    </xf>
    <xf numFmtId="10" fontId="13" fillId="0" borderId="0" xfId="0" applyNumberFormat="1" applyFont="1"/>
    <xf numFmtId="10" fontId="13" fillId="2" borderId="0" xfId="0" applyNumberFormat="1" applyFont="1" applyFill="1"/>
    <xf numFmtId="10" fontId="13" fillId="2" borderId="0" xfId="0" applyNumberFormat="1" applyFont="1" applyFill="1" applyAlignment="1">
      <alignment vertical="center"/>
    </xf>
    <xf numFmtId="10" fontId="1" fillId="0" borderId="0" xfId="0" applyNumberFormat="1" applyFont="1"/>
    <xf numFmtId="0" fontId="1" fillId="2" borderId="0" xfId="0" applyFont="1" applyFill="1"/>
    <xf numFmtId="1" fontId="0" fillId="0" borderId="0" xfId="0" applyNumberFormat="1"/>
    <xf numFmtId="164" fontId="0" fillId="0" borderId="0" xfId="0" applyNumberFormat="1">
      <extLst>
        <ext xmlns:xfpb="http://schemas.microsoft.com/office/spreadsheetml/2022/featurepropertybag" uri="{C7286773-470A-42A8-94C5-96B5CB345126}">
          <xfpb:xfComplement i="0"/>
        </ext>
      </extLst>
    </xf>
    <xf numFmtId="0" fontId="1" fillId="4" borderId="0" xfId="0" applyFont="1" applyFill="1"/>
    <xf numFmtId="10" fontId="1" fillId="2" borderId="0" xfId="0" applyNumberFormat="1" applyFont="1" applyFill="1"/>
    <xf numFmtId="0" fontId="16" fillId="0" borderId="0" xfId="0" applyFont="1"/>
    <xf numFmtId="0" fontId="17" fillId="0" borderId="0" xfId="0" applyFont="1" applyAlignment="1">
      <alignment vertical="center"/>
    </xf>
    <xf numFmtId="0" fontId="18" fillId="0" borderId="0" xfId="0" applyFont="1"/>
    <xf numFmtId="0" fontId="9" fillId="0" borderId="0" xfId="0" applyFont="1"/>
    <xf numFmtId="0" fontId="20" fillId="2" borderId="0" xfId="0" applyFont="1" applyFill="1" applyAlignment="1">
      <alignment vertical="center"/>
    </xf>
    <xf numFmtId="10" fontId="19" fillId="2" borderId="0" xfId="0" applyNumberFormat="1" applyFont="1" applyFill="1" applyAlignment="1">
      <alignment horizontal="left" vertical="top"/>
    </xf>
    <xf numFmtId="10" fontId="19" fillId="2" borderId="0" xfId="0" applyNumberFormat="1" applyFont="1" applyFill="1" applyAlignment="1">
      <alignment horizontal="left" vertical="center"/>
    </xf>
    <xf numFmtId="9" fontId="1" fillId="0" borderId="0" xfId="0" applyNumberFormat="1" applyFont="1" applyAlignment="1">
      <alignment vertical="center" wrapText="1"/>
    </xf>
    <xf numFmtId="10" fontId="2" fillId="0" borderId="0" xfId="0" applyNumberFormat="1" applyFont="1" applyAlignment="1">
      <alignment horizontal="center" vertical="center" wrapText="1"/>
    </xf>
    <xf numFmtId="0" fontId="4" fillId="2" borderId="0" xfId="0" applyFont="1" applyFill="1" applyAlignment="1">
      <alignment vertical="center" wrapText="1"/>
    </xf>
    <xf numFmtId="14" fontId="0" fillId="0" borderId="0" xfId="0" applyNumberFormat="1"/>
    <xf numFmtId="3" fontId="0" fillId="0" borderId="0" xfId="0" applyNumberFormat="1"/>
    <xf numFmtId="3" fontId="1" fillId="0" borderId="0" xfId="0" applyNumberFormat="1" applyFont="1"/>
    <xf numFmtId="2" fontId="0" fillId="0" borderId="0" xfId="0" applyNumberFormat="1" applyAlignment="1">
      <alignment wrapText="1"/>
    </xf>
    <xf numFmtId="20" fontId="1" fillId="0" borderId="0" xfId="0" applyNumberFormat="1" applyFont="1" applyAlignment="1">
      <alignment vertical="center" wrapText="1"/>
    </xf>
    <xf numFmtId="3" fontId="0" fillId="2" borderId="0" xfId="0" applyNumberFormat="1" applyFill="1"/>
    <xf numFmtId="0" fontId="6" fillId="2" borderId="0" xfId="0" applyFont="1" applyFill="1"/>
    <xf numFmtId="10" fontId="7" fillId="0" borderId="0" xfId="0" applyNumberFormat="1" applyFont="1"/>
    <xf numFmtId="10" fontId="7" fillId="2" borderId="0" xfId="0" applyNumberFormat="1" applyFont="1" applyFill="1"/>
    <xf numFmtId="0" fontId="6" fillId="0" borderId="0" xfId="0" applyFont="1" applyAlignment="1">
      <alignment vertical="center" wrapText="1"/>
    </xf>
    <xf numFmtId="15" fontId="1" fillId="0" borderId="0" xfId="0" applyNumberFormat="1" applyFont="1" applyAlignment="1">
      <alignment vertical="center" wrapText="1"/>
    </xf>
    <xf numFmtId="0" fontId="1" fillId="0" borderId="0" xfId="0" applyFont="1" applyAlignment="1">
      <alignment vertical="center" wrapText="1"/>
    </xf>
    <xf numFmtId="10" fontId="1" fillId="0" borderId="0" xfId="0" applyNumberFormat="1" applyFont="1" applyAlignment="1">
      <alignment vertical="center" wrapText="1"/>
    </xf>
    <xf numFmtId="6" fontId="1" fillId="0" borderId="0" xfId="0" applyNumberFormat="1" applyFont="1" applyAlignment="1">
      <alignment vertical="center" wrapText="1"/>
    </xf>
    <xf numFmtId="0" fontId="12" fillId="0" borderId="0" xfId="0" applyFont="1" applyAlignment="1">
      <alignment horizontal="center" vertical="center" wrapText="1"/>
    </xf>
    <xf numFmtId="0" fontId="0" fillId="0" borderId="0" xfId="0" applyAlignment="1">
      <alignment vertical="center" wrapText="1"/>
    </xf>
  </cellXfs>
  <cellStyles count="2">
    <cellStyle name="Hyperlink" xfId="1" builtinId="8"/>
    <cellStyle name="Normal" xfId="0" builtinId="0"/>
  </cellStyles>
  <dxfs count="40">
    <dxf>
      <font>
        <color rgb="FFFF0000"/>
      </font>
    </dxf>
    <dxf>
      <fill>
        <patternFill>
          <bgColor rgb="FF55BE7D"/>
        </patternFill>
      </fill>
    </dxf>
    <dxf>
      <fill>
        <patternFill>
          <bgColor rgb="FF55BE7D"/>
        </patternFill>
      </fill>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font>
        <b val="0"/>
        <i val="0"/>
        <strike val="0"/>
        <condense val="0"/>
        <extend val="0"/>
        <outline val="0"/>
        <shadow val="0"/>
        <u val="none"/>
        <vertAlign val="baseline"/>
        <sz val="12"/>
        <color theme="1"/>
        <name val="Aptos Narrow"/>
        <family val="2"/>
        <scheme val="minor"/>
      </font>
      <border diagonalUp="0" diagonalDown="0">
        <left/>
        <right/>
        <top style="thin">
          <color theme="4"/>
        </top>
        <bottom/>
        <vertical/>
        <horizontal/>
      </border>
    </dxf>
    <dxf>
      <border outline="0">
        <left style="thin">
          <color theme="4"/>
        </left>
        <top style="thin">
          <color theme="4"/>
        </top>
      </border>
    </dxf>
    <dxf>
      <font>
        <b/>
        <i val="0"/>
        <strike val="0"/>
        <condense val="0"/>
        <extend val="0"/>
        <outline val="0"/>
        <shadow val="0"/>
        <u val="none"/>
        <vertAlign val="baseline"/>
        <sz val="12"/>
        <color theme="0"/>
        <name val="Aptos Narrow"/>
        <family val="2"/>
        <scheme val="minor"/>
      </font>
      <fill>
        <patternFill patternType="solid">
          <fgColor theme="4"/>
          <bgColor theme="4"/>
        </patternFill>
      </fill>
    </dxf>
    <dxf>
      <numFmt numFmtId="164" formatCode="_([$$-409]* #,##0.00_);_([$$-409]* \(#,##0.00\);_([$$-409]* &quot;-&quot;??_);_(@_)"/>
      <extLst>
        <ext xmlns:xfpb="http://schemas.microsoft.com/office/spreadsheetml/2022/featurepropertybag" uri="{0417FA29-78FA-4A13-93AC-8FF0FAFDF519}">
          <xfpb:DXFComplement i="0"/>
        </ext>
      </extLst>
    </dxf>
    <dxf>
      <numFmt numFmtId="164" formatCode="_([$$-409]* #,##0.00_);_([$$-409]* \(#,##0.00\);_([$$-409]* &quot;-&quot;??_);_(@_)"/>
    </dxf>
    <dxf>
      <numFmt numFmtId="0" formatCode="General"/>
    </dxf>
    <dxf>
      <numFmt numFmtId="164" formatCode="_([$$-409]* #,##0.00_);_([$$-409]* \(#,##0.00\);_([$$-409]* &quot;-&quot;??_);_(@_)"/>
    </dxf>
    <dxf>
      <numFmt numFmtId="165" formatCode="_([$$-409]* #,##0_);_([$$-409]* \(#,##0\);_([$$-409]* &quot;-&quot;_);_(@_)"/>
    </dxf>
    <dxf>
      <numFmt numFmtId="164" formatCode="_([$$-409]* #,##0.00_);_([$$-409]* \(#,##0.00\);_([$$-409]* &quot;-&quot;??_);_(@_)"/>
    </dxf>
    <dxf>
      <numFmt numFmtId="164" formatCode="_([$$-409]* #,##0.00_);_([$$-409]* \(#,##0.00\);_([$$-409]* &quot;-&quot;??_);_(@_)"/>
    </dxf>
    <dxf>
      <numFmt numFmtId="14" formatCode="0.00%"/>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4" formatCode="0.00%"/>
    </dxf>
    <dxf>
      <numFmt numFmtId="165" formatCode="_([$$-409]* #,##0_);_([$$-409]* \(#,##0\);_([$$-409]* &quot;-&quot;_);_(@_)"/>
    </dxf>
    <dxf>
      <numFmt numFmtId="164" formatCode="_([$$-409]* #,##0.00_);_([$$-409]* \(#,##0.00\);_([$$-409]* &quot;-&quot;??_);_(@_)"/>
    </dxf>
    <dxf>
      <numFmt numFmtId="164" formatCode="_([$$-409]* #,##0.00_);_([$$-409]* \(#,##0.00\);_([$$-409]* &quot;-&quot;??_);_(@_)"/>
    </dxf>
    <dxf>
      <numFmt numFmtId="14" formatCode="0.00%"/>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font>
        <b val="0"/>
        <i val="0"/>
        <strike val="0"/>
        <condense val="0"/>
        <extend val="0"/>
        <outline val="0"/>
        <shadow val="0"/>
        <u val="none"/>
        <vertAlign val="baseline"/>
        <sz val="12"/>
        <color theme="1"/>
        <name val="Aptos Narrow"/>
        <family val="2"/>
        <scheme val="minor"/>
      </font>
      <border diagonalUp="0" diagonalDown="0">
        <left/>
        <right/>
        <top style="thin">
          <color theme="4"/>
        </top>
        <bottom/>
        <vertical/>
        <horizontal/>
      </border>
    </dxf>
    <dxf>
      <border outline="0">
        <left style="thin">
          <color theme="4"/>
        </left>
        <top style="thin">
          <color theme="4"/>
        </top>
      </border>
    </dxf>
    <dxf>
      <font>
        <b/>
        <i val="0"/>
        <strike val="0"/>
        <condense val="0"/>
        <extend val="0"/>
        <outline val="0"/>
        <shadow val="0"/>
        <u val="none"/>
        <vertAlign val="baseline"/>
        <sz val="12"/>
        <color theme="0"/>
        <name val="Aptos Narrow"/>
        <family val="2"/>
        <scheme val="minor"/>
      </font>
      <fill>
        <patternFill patternType="solid">
          <fgColor theme="4"/>
          <bgColor theme="4"/>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55BE7D"/>
      <color rgb="FF53B576"/>
      <color rgb="FF4CA569"/>
      <color rgb="FF55A55C"/>
      <color rgb="FF63AF83"/>
      <color rgb="FF5BA075"/>
      <color rgb="FF53B07F"/>
      <color rgb="FF4DA273"/>
      <color rgb="FF2C9A5D"/>
      <color rgb="FF388F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removeDataOnSave="1" connectionId="56" xr16:uid="{8B633630-60E9-7A46-9030-85B7BDA1C041}"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removeDataOnSave="1" connectionId="63" xr16:uid="{40ABF222-6B0A-7B49-8920-9FE6B8A8526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removeDataOnSave="1" connectionId="61" xr16:uid="{8AEDC571-B890-5C40-AD19-67536625825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removeDataOnSave="1" connectionId="14" xr16:uid="{21A23CB1-5AB7-AF4C-890C-D8B08E31E6EF}"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removeDataOnSave="1" connectionId="15" xr16:uid="{D48C47F1-8FA2-DF4B-80E7-6F07C532B4B3}"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3" backgroundRefresh="0" growShrinkType="overwriteClear" removeDataOnSave="1" connectionId="62" xr16:uid="{E313EF60-9B97-974C-8DFF-71DC8774D78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removeDataOnSave="1" connectionId="7" xr16:uid="{730BCD43-806A-E14C-9D12-4AB9AF3F3E4A}"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removeDataOnSave="1" connectionId="37" xr16:uid="{7556DC52-ED90-4042-BC78-B5E749DBE678}"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removeDataOnSave="1" connectionId="9" xr16:uid="{13D923CD-B2B4-2B41-A7AE-E47079B226D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removeDataOnSave="1" connectionId="8" xr16:uid="{FB5EBFAF-E28A-0146-A392-9774E39ACB7C}"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removeDataOnSave="1" connectionId="60" xr16:uid="{5CFC6B74-6963-1948-BB6D-7E20236C51A8}"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removeDataOnSave="1" connectionId="59" xr16:uid="{E1073475-8FD4-9248-8F3B-6F333D2FC3A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47" backgroundRefresh="0" growShrinkType="overwriteClear" removeDataOnSave="1" connectionId="58" xr16:uid="{DD844ABF-5977-824F-8F77-DF47A5BDF24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removeDataOnSave="1" connectionId="53" xr16:uid="{0F011749-33E6-ED41-B344-1E3EB87C95CC}" autoFormatId="16" applyNumberFormats="0" applyBorderFormats="0" applyFontFormats="1" applyPatternFormats="1" applyAlignmentFormats="0" applyWidthHeightFormats="0"/>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44">
  <rv s="0">
    <v>https://www.bing.com/financeapi/forcetrigger?t=a23rm7&amp;q=XNYS%3aSTZ&amp;form=skydnc</v>
    <v>Learn more on Bing</v>
  </rv>
  <rv s="1">
    <v>0</v>
    <v>CONSTELLATION BRANDS, INC. (XNYS:STZ)</v>
    <v>2</v>
    <v>3</v>
    <v>Finance</v>
    <v>4</v>
    <v>en-US</v>
    <v>a23rm7</v>
    <v>268435456</v>
    <v>1</v>
    <v>Powered by Refinitiv</v>
    <v>245.3099</v>
    <v>131.19999999999999</v>
    <v>0.62429999999999997</v>
    <v>-0.1</v>
    <v>-7.157E-4</v>
    <v>-0.12</v>
    <v>-8.5950000000000002E-4</v>
    <v>USD</v>
    <v>Constellation Brands, Inc. is a producer and marketer of beer, wine, and spirits with operations in the United States, Mexico, New Zealand, and Italy with brands, such as Corona Extra, Modelo Especial, Robert Mondavi Winery, Kim Crawford, The Prisoner Wine Company, High West, Casa Noble, and Mi CAMPO. Its segments include Beer, Wine and Spirits, and Corporate Operations and Other. In the Beer segment, its portfolio consists of high-end imported beer brands and ABAs. It has a perpetual brand license to produce its Mexican beer portfolio and to import, market, and sell such a portfolio in the United States. In the Wine and Spirits segment, it sells a portfolio that includes higher-end wine brands complemented by certain higher-end spirits brands. Its Corporate Operations and Other segment consists of costs of corporate development, corporate finance, corporate strategy, executive management, growth, human resources, internal audit, investor relations, IT, legal and public relations.</v>
    <v>10600</v>
    <v>New York Stock Exchange</v>
    <v>XNYS</v>
    <v>XNYS</v>
    <v>50 East Broad Street, ROCHESTER, NY, 14614 US</v>
    <v>141.03</v>
    <v>Beverages</v>
    <v>Stock</v>
    <v>45954.998191943749</v>
    <v>0</v>
    <v>139.16</v>
    <v>24540680000</v>
    <v>CONSTELLATION BRANDS, INC.</v>
    <v>CONSTELLATION BRANDS, INC.</v>
    <v>140.74</v>
    <v>20.378900000000002</v>
    <v>139.72</v>
    <v>139.62</v>
    <v>139.5</v>
    <v>175040500</v>
    <v>STZ</v>
    <v>CONSTELLATION BRANDS, INC. (XNYS:STZ)</v>
    <v>1217486</v>
    <v>3002509</v>
    <v>1972</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5</v>
    <v>MICROSOFT CORPORATION (XNAS:MSFT)</v>
    <v>7</v>
    <v>8</v>
    <v>Finance</v>
    <v>4</v>
    <v>en-US</v>
    <v>a1xzim</v>
    <v>268435456</v>
    <v>1</v>
    <v>Powered by Refinitiv</v>
    <v>555.45000000000005</v>
    <v>344.79</v>
    <v>1.0196000000000001</v>
    <v>3.05</v>
    <v>5.8589999999999996E-3</v>
    <v>0.68</v>
    <v>1.2989999999999998E-3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525.34500000000003</v>
    <v>6</v>
    <v>Software &amp; IT Services</v>
    <v>Stock</v>
    <v>45954.999993089841</v>
    <v>7</v>
    <v>520.71</v>
    <v>3869220000000</v>
    <v>MICROSOFT CORPORATION</v>
    <v>MICROSOFT CORPORATION</v>
    <v>522.79</v>
    <v>38.384799999999998</v>
    <v>520.55999999999995</v>
    <v>523.61</v>
    <v>524.29</v>
    <v>7433087000</v>
    <v>MSFT</v>
    <v>MICROSOFT CORPORATION (XNAS:MSFT)</v>
    <v>15532360</v>
    <v>18732124</v>
    <v>1993</v>
  </rv>
  <rv s="2">
    <v>8</v>
  </rv>
  <rv s="0">
    <v>https://www.bing.com/financeapi/forcetrigger?t=a1yv52&amp;q=XNAS%3aNVDA&amp;form=skydnc</v>
    <v>Learn more on Bing</v>
  </rv>
  <rv s="1">
    <v>0</v>
    <v>NVIDIA CORPORATION (XNAS:NVDA)</v>
    <v>2</v>
    <v>3</v>
    <v>Finance</v>
    <v>4</v>
    <v>en-US</v>
    <v>a1yv52</v>
    <v>268435456</v>
    <v>1</v>
    <v>Powered by Refinitiv</v>
    <v>195.62</v>
    <v>86.62</v>
    <v>2.1122999999999998</v>
    <v>4.0999999999999996</v>
    <v>2.2508E-2</v>
    <v>0.2</v>
    <v>1.0739999999999999E-3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187.47</v>
    <v>Semiconductors &amp; Semiconductor Equipment</v>
    <v>Stock</v>
    <v>45954.999997048435</v>
    <v>10</v>
    <v>183.5</v>
    <v>4380804000000</v>
    <v>NVIDIA CORPORATION</v>
    <v>NVIDIA CORPORATION</v>
    <v>183.83500000000001</v>
    <v>53.012500000000003</v>
    <v>182.16</v>
    <v>186.26</v>
    <v>186.46</v>
    <v>24300000000</v>
    <v>NVDA</v>
    <v>NVIDIA CORPORATION (XNAS:NVDA)</v>
    <v>131296677</v>
    <v>175757330</v>
    <v>1998</v>
  </rv>
  <rv s="2">
    <v>11</v>
  </rv>
  <rv s="6">
    <v>12</v>
    <v>Ticker symbol</v>
    <v>0</v>
  </rv>
  <rv s="6">
    <v>12</v>
    <v>Industry</v>
    <v>0</v>
  </rv>
  <rv s="0">
    <v>https://www.bing.com/financeapi/forcetrigger?t=a1n977&amp;q=XNYS%3aALB&amp;form=skydnc</v>
    <v>Learn more on Bing</v>
  </rv>
  <rv s="7">
    <v>10</v>
    <v>ALBEMARLE CORPORATION (XNYS:ALB)</v>
    <v>2</v>
    <v>11</v>
    <v>Finance</v>
    <v>4</v>
    <v>en-US</v>
    <v>a1n977</v>
    <v>268435456</v>
    <v>1</v>
    <v>Powered by Refinitiv</v>
    <v>113.91</v>
    <v>49.430300000000003</v>
    <v>1.6847000000000001</v>
    <v>8.2799999999999994</v>
    <v>8.5044999999999996E-2</v>
    <v>0.1188</v>
    <v>1.1250000000000001E-3</v>
    <v>USD</v>
    <v>Albemarle Corporation is engaged in transforming essential resources into critical ingredients for mobility, energy, connectivity, and health. The Company’s segments include Energy Storage, Specialties, and Ketjen. The Energy Storage segment develops and manufactures a range of basic lithium compounds, including lithium carbonate, lithium hydroxide, and lithium chloride. Its Specialties business optimizes its portfolio of bromine and highly specialized lithium solutions. Its Specialties business serves a variety of industries, including energy, mobility, connectivity, and health. Specialty products are essential in both internal combustion and electric vehicles, from high-voltage cables and powertrains to airbags and tires. Its Ketjen segment includes clean fuels technologies (CFT), fluidized catalytic cracking (FCC) catalysts and additives, and performance catalyst solutions (PCS). It serves various markets such as grid storage, automotive, aerospace, conventional energy, and others.</v>
    <v>8300</v>
    <v>New York Stock Exchange</v>
    <v>XNYS</v>
    <v>XNYS</v>
    <v>4250 Congress Street, Suite 900, CHARLOTTE, NC, 28209 US</v>
    <v>106.955</v>
    <v>Chemicals</v>
    <v>Stock</v>
    <v>45954.996256376566</v>
    <v>15</v>
    <v>99.65</v>
    <v>10740920000</v>
    <v>ALBEMARLE CORPORATION</v>
    <v>ALBEMARLE CORPORATION</v>
    <v>100.17</v>
    <v>97.36</v>
    <v>105.64</v>
    <v>105.75879999999999</v>
    <v>117682900</v>
    <v>ALB</v>
    <v>ALBEMARLE CORPORATION (XNYS:ALB)</v>
    <v>5109652</v>
    <v>3393504</v>
    <v>1993</v>
  </rv>
  <rv s="2">
    <v>16</v>
  </rv>
  <rv s="0">
    <v>https://www.bing.com/financeapi/forcetrigger?t=a1yqyc&amp;q=XNAS%3aNSSC&amp;form=skydnc</v>
    <v>Learn more on Bing</v>
  </rv>
  <rv s="1">
    <v>0</v>
    <v>NAPCO SECURITY TECHNOLOGIES, INC. (XNAS:NSSC)</v>
    <v>2</v>
    <v>3</v>
    <v>Finance</v>
    <v>4</v>
    <v>en-US</v>
    <v>a1yqyc</v>
    <v>268435456</v>
    <v>1</v>
    <v>Powered by Refinitiv</v>
    <v>45.14</v>
    <v>19</v>
    <v>1.5316000000000001</v>
    <v>0.16</v>
    <v>3.6420000000000003E-3</v>
    <v>0</v>
    <v>0</v>
    <v>USD</v>
    <v>Napco Security Technologies, Inc. is a manufacturer and designer of high-tech electronic security devices, cellular communication services for intrusion and fire alarm systems, as well as a provider of school safety solutions. It offers a diversified array of security products, encompassing access control systems, door-locking products, intrusion and fire alarm systems and video surveillance products. These products are used for commercial, residential, institutional, industrial and governmental applications, and are sold to independent distributors, dealers and installers of security equipment. It manufactures and markets various products for alarm systems, including automatic communicators, cellular communication devices, control panels, combination control panels/digital communicators and digital keypad systems, fire alarm control panel and area detectors. Its video surveillance systems typically consist of one or more video cameras, a control panel and a video monitor or PC.</v>
    <v>1061</v>
    <v>Nasdaq Stock Market</v>
    <v>XNAS</v>
    <v>XNAS</v>
    <v>333 Bayview Ave, AMITYVILLE, NY, 11701 US</v>
    <v>45.14</v>
    <v>Communications &amp; Networking</v>
    <v>Stock</v>
    <v>45954.840326307814</v>
    <v>18</v>
    <v>44.04</v>
    <v>1548915000</v>
    <v>NAPCO SECURITY TECHNOLOGIES, INC.</v>
    <v>NAPCO SECURITY TECHNOLOGIES, INC.</v>
    <v>44.46</v>
    <v>37.0548</v>
    <v>43.93</v>
    <v>44.09</v>
    <v>44.09</v>
    <v>35656420</v>
    <v>NSSC</v>
    <v>NAPCO SECURITY TECHNOLOGIES, INC. (XNAS:NSSC)</v>
    <v>373463</v>
    <v>320156</v>
    <v>1971</v>
  </rv>
  <rv s="2">
    <v>19</v>
  </rv>
  <rv s="0">
    <v>https://www.bing.com/financeapi/forcetrigger?t=a1u9c7&amp;q=XNYS%3aGSL&amp;form=skydnc</v>
    <v>Learn more on Bing</v>
  </rv>
  <rv s="1">
    <v>0</v>
    <v>Global Ship Lease, Inc. (XNYS:GSL)</v>
    <v>2</v>
    <v>3</v>
    <v>Finance</v>
    <v>4</v>
    <v>en-US</v>
    <v>a1u9c7</v>
    <v>268435456</v>
    <v>1</v>
    <v>Powered by Refinitiv</v>
    <v>33.075000000000003</v>
    <v>17.7301</v>
    <v>1.1901999999999999</v>
    <v>-0.08</v>
    <v>-2.8020000000000002E-3</v>
    <v>0.04</v>
    <v>1.4050000000000002E-3</v>
    <v>USD</v>
    <v>Global Ship Lease, Inc. is an independent owner of containerships with a diversified fleet of mid-sized and smaller containerships. The Company is focused on mid-size Post-Panamax and smaller containerships which tend to serve the non-Mainlane and intra-regional trades. The Company takes a partnership approach with its customers, providing flexible chartering solutions which enable them to free up capital and management resources to focus on other strategic priorities. As a containership owner, its business is both pro-cyclical - with chartered tonnage used as a growth platform by liner shipping companies, and counter-cyclical - with sale and lease-back structures used by liner companies as a balance sheet management tool. The Company's fleet of 69 vessels has an average age weighted by TEU capacity of 17.5 years. 39 ships are wide-beam Post-Panamax. Its vessels include CMA CGM Thalassa, Zim Norfolk, Zim Xiamen, Anthea Y, Sydney Express, Istanbul Express, GSL Effie and Newyorker.</v>
    <v>7</v>
    <v>New York Stock Exchange</v>
    <v>XNYS</v>
    <v>XNYS</v>
    <v>25 Wilton Road, LONDON, SW1V 1LW GB</v>
    <v>28.8</v>
    <v>Freight &amp; Logistics Services</v>
    <v>Stock</v>
    <v>45954.958333367969</v>
    <v>21</v>
    <v>28.132000000000001</v>
    <v>1005155000</v>
    <v>Global Ship Lease, Inc.</v>
    <v>Global Ship Lease, Inc.</v>
    <v>28.5</v>
    <v>2.6456</v>
    <v>28.55</v>
    <v>28.47</v>
    <v>28.51</v>
    <v>35770650</v>
    <v>GSL</v>
    <v>Global Ship Lease, Inc. (XNYS:GSL)</v>
    <v>348471</v>
    <v>309544</v>
    <v>2008</v>
  </rv>
  <rv s="2">
    <v>22</v>
  </rv>
  <rv s="0">
    <v>https://www.bing.com/financeapi/forcetrigger?t=a26hsm&amp;q=XNYS%3aZTO&amp;form=skydnc</v>
    <v>Learn more on Bing</v>
  </rv>
  <rv s="1">
    <v>0</v>
    <v>ZTO EXPRESS (CAYMAN) INC. (XNYS:ZTO)</v>
    <v>2</v>
    <v>3</v>
    <v>Finance</v>
    <v>4</v>
    <v>en-US</v>
    <v>a26hsm</v>
    <v>268435456</v>
    <v>1</v>
    <v>Powered by Refinitiv</v>
    <v>24.73</v>
    <v>16.34</v>
    <v>-0.18609999999999999</v>
    <v>0.06</v>
    <v>3.1330000000000004E-3</v>
    <v>-0.05</v>
    <v>-2.6029999999999998E-3</v>
    <v>USD</v>
    <v>ZTO Express Cayman Inc is a holding company that provides express delivery services and other value-added logistics services through a nationwide network. The express delivery services mainly include parcel sorting and route transportation. The Company provides express delivery services directly to corporate customers, including vertical e-commerce and traditional merchants, as well as delivering products to end consumers. The Company also provides freight forwarding services. The Company mainly operates within the domestic market.</v>
    <v>24477</v>
    <v>New York Stock Exchange</v>
    <v>XNYS</v>
    <v>XNYS</v>
    <v>Building 1, No. 1685, Huazhi Road, Qingpu District, SHANGHAI, SHANGHAI, 201708 CN</v>
    <v>19.27</v>
    <v>Freight &amp; Logistics Services</v>
    <v>Stock</v>
    <v>45954.958333344533</v>
    <v>24</v>
    <v>19.07</v>
    <v>15236460000</v>
    <v>ZTO EXPRESS (CAYMAN) INC.</v>
    <v>ZTO EXPRESS (CAYMAN) INC.</v>
    <v>19.27</v>
    <v>13.199199999999999</v>
    <v>19.149999999999999</v>
    <v>19.21</v>
    <v>19.16</v>
    <v>804468500</v>
    <v>ZTO</v>
    <v>ZTO EXPRESS (CAYMAN) INC. (XNYS:ZTO)</v>
    <v>448716</v>
    <v>1709456</v>
    <v>2015</v>
  </rv>
  <rv s="2">
    <v>25</v>
  </rv>
  <rv s="0">
    <v>https://www.bing.com/financeapi/forcetrigger?t=a24ynm&amp;q=XNYS%3aUPS&amp;form=skydnc</v>
    <v>Learn more on Bing</v>
  </rv>
  <rv s="1">
    <v>0</v>
    <v>UNITED PARCEL SERVICE, INC. (XNYS:UPS)</v>
    <v>2</v>
    <v>3</v>
    <v>Finance</v>
    <v>4</v>
    <v>en-US</v>
    <v>a24ynm</v>
    <v>268435456</v>
    <v>1</v>
    <v>Powered by Refinitiv</v>
    <v>138.66999999999999</v>
    <v>82</v>
    <v>1.0732999999999999</v>
    <v>0.19</v>
    <v>2.183E-3</v>
    <v>0.12</v>
    <v>1.3760000000000001E-3</v>
    <v>USD</v>
    <v>United Parcel Service, Inc. provides a range of integrated logistics solutions for customers in more than 200 countries and territories. Its segments include U.S. Domestic Package and International Package. U.S. Domestic Package segment offers a range of United States domestic air and ground package transportation services. Its air portfolio offers time-definite, same-day, next-day, two-day and three-day delivery alternatives as well as air cargo services. Its ground network enables customers to ship using its day-definite ground service. UPS SurePost provides residential ground service for customers with non-urgent, lightweight residential shipments. International Package segment consists of its small package operations in Europe, Indian sub-continent, Middle East and Africa, Canada and Latin America and Asia. It offers a selection of guaranteed day- and time-definite international shipping services. Its supply chain solutions consist of forwarding, logistics, and other businesses.</v>
    <v>490000</v>
    <v>New York Stock Exchange</v>
    <v>XNYS</v>
    <v>XNYS</v>
    <v>55 Glenlake Parkway Ne, ATLANTA, GA, 30328 US</v>
    <v>88.309899999999999</v>
    <v>Freight &amp; Logistics Services</v>
    <v>Stock</v>
    <v>45954.999847256251</v>
    <v>27</v>
    <v>87.14</v>
    <v>73806370000</v>
    <v>UNITED PARCEL SERVICE, INC.</v>
    <v>UNITED PARCEL SERVICE, INC.</v>
    <v>87.92</v>
    <v>12.968999999999999</v>
    <v>87.03</v>
    <v>87.22</v>
    <v>87.34</v>
    <v>847569600</v>
    <v>UPS</v>
    <v>UNITED PARCEL SERVICE, INC. (XNYS:UPS)</v>
    <v>5256153</v>
    <v>7487322</v>
    <v>1999</v>
  </rv>
  <rv s="2">
    <v>28</v>
  </rv>
  <rv s="0">
    <v>https://www.bing.com/financeapi/forcetrigger?t=a1olgh&amp;q=XNYS%3aBLDR&amp;form=skydnc</v>
    <v>Learn more on Bing</v>
  </rv>
  <rv s="1">
    <v>0</v>
    <v>BUILDERS FIRSTSOURCE, INC. (XNYS:BLDR)</v>
    <v>2</v>
    <v>3</v>
    <v>Finance</v>
    <v>4</v>
    <v>en-US</v>
    <v>a1olgh</v>
    <v>268435456</v>
    <v>1</v>
    <v>Powered by Refinitiv</v>
    <v>194.36</v>
    <v>102.6</v>
    <v>1.613</v>
    <v>-0.14000000000000001</v>
    <v>-1.127E-3</v>
    <v>-0.31</v>
    <v>-2.4989999999999999E-3</v>
    <v>USD</v>
    <v>Builders FirstSource, Inc. is a supplier of building products, prefabricated components, and value-added services to the professional market segment for new residential construction and repair and remodeling. It provides customers with an integrated homebuilding solution, offering manufacturing, supply, delivery and installation of a full range of structural and related building products. Its product categories include Manufactured Products; Windows, Doors and Millwork; Specialty Building Products and Services, and Lumber and Lumber Sheet Goods. It serves customers from distribution and manufacturing facilities (some of which are co-located) that produce value-added products such as roof and floor trusses, wall panels, stairs, vinyl windows, custom millwork and pre-hung doors. It also distributes dimensional lumber and lumber sheet goods, millwork, windows, interior and exterior doors, and other specialty building products. It operates in 43 states with approximately 585 locations.</v>
    <v>29000</v>
    <v>New York Stock Exchange</v>
    <v>XNYS</v>
    <v>XNYS</v>
    <v>6031 CONNECTION DR., STE. 400, IRVING, TX, 75039 US</v>
    <v>127.08459999999999</v>
    <v>Homebuilding &amp; Construction Supplies</v>
    <v>Stock</v>
    <v>45954.958333356248</v>
    <v>30</v>
    <v>123.94</v>
    <v>13549740000</v>
    <v>BUILDERS FIRSTSOURCE, INC.</v>
    <v>BUILDERS FIRSTSOURCE, INC.</v>
    <v>126.53</v>
    <v>18.832100000000001</v>
    <v>124.2</v>
    <v>124.06</v>
    <v>123.75</v>
    <v>110546900</v>
    <v>BLDR</v>
    <v>BUILDERS FIRSTSOURCE, INC. (XNYS:BLDR)</v>
    <v>907706</v>
    <v>1785290</v>
    <v>1998</v>
  </rv>
  <rv s="2">
    <v>31</v>
  </rv>
  <rv s="8">
    <v>12</v>
    <v>F&amp;G ANNUITIES &amp; LIFE, INC. (XNYS:FG)</v>
    <v>13</v>
    <v>3</v>
    <v>Finance</v>
    <v>4</v>
    <v>en-US</v>
    <v>c83rjc</v>
    <v>268435456</v>
    <v>1</v>
    <v>Powered by Refinitiv</v>
    <v>50.75</v>
    <v>28.7</v>
    <v>1.1519999999999999</v>
    <v>0.38</v>
    <v>1.2956000000000001E-2</v>
    <v>0</v>
    <v>0</v>
    <v>USD</v>
    <v>F&amp;G Annuities &amp; Life, Inc. is a provider of insurance solutions serving retail annuity and life customers, as well as institutional clients. Through its subsidiaries, it markets a portfolio of annuities, including fixed indexed annuities (FIAs), registered index-linked annuities (RILAs), (referred to as indexed annuities), multi-year guarantee annuities (MYGAs) as well as pension risk transfer (PRT) solutions, indexed universal life (IUL) insurance and institutional funding agreements. Its retail annuities serve as a retirement and savings tool on which its customers rely for principal protection and predictable income streams. In addition, its life insurance products provide its customers with a complementary product that allows them to build on their savings and provide a payment to their designated beneficiaries upon the policyholder's death. Its customers value its FIAs, which provide a portion of the gains of an underlying market index, while also providing principal protection.</v>
    <v>1338</v>
    <v>New York Stock Exchange</v>
    <v>XNYS</v>
    <v>XNYS</v>
    <v>801 Grand Ave, Suite 2600, DES MOINES, IA, 50309 US</v>
    <v>29.81</v>
    <v>Insurance</v>
    <v>Stock</v>
    <v>45954.976426724221</v>
    <v>29.41</v>
    <v>3969447000</v>
    <v>F&amp;G ANNUITIES &amp; LIFE, INC.</v>
    <v>F&amp;G ANNUITIES &amp; LIFE, INC.</v>
    <v>29.41</v>
    <v>12.137499999999999</v>
    <v>29.33</v>
    <v>29.71</v>
    <v>29.71</v>
    <v>134648800</v>
    <v>FG</v>
    <v>F&amp;G ANNUITIES &amp; LIFE, INC. (XNYS:FG)</v>
    <v>97104</v>
    <v>171729</v>
    <v>2020</v>
  </rv>
  <rv s="2">
    <v>33</v>
  </rv>
  <rv s="0">
    <v>https://www.bing.com/financeapi/forcetrigger?t=a1pwnm&amp;q=XNAS%3aCMCO&amp;form=skydnc</v>
    <v>Learn more on Bing</v>
  </rv>
  <rv s="1">
    <v>0</v>
    <v>COLUMBUS MCKINNON CORPORATION (XNAS:CMCO)</v>
    <v>2</v>
    <v>3</v>
    <v>Finance</v>
    <v>4</v>
    <v>en-US</v>
    <v>a1pwnm</v>
    <v>268435456</v>
    <v>1</v>
    <v>Powered by Refinitiv</v>
    <v>41.05</v>
    <v>11.7807</v>
    <v>1.2825</v>
    <v>0.32</v>
    <v>2.0739E-2</v>
    <v>0</v>
    <v>0</v>
    <v>USD</v>
    <v>Columbus McKinnon Corporation is a designer, manufacturer and marketer of intelligent motion solutions for material handling. Its key products include hoists, crane components, precision conveyor systems, rigging tools, light rail workstations and digital power and motion control systems. The Company focuses on commercial and industrial applications that require the safety and quality provided by its design and engineering know-how. Its products include a wide variety of electric, air-powered, lever, and hand hoists, hoist trolleys, explosion-protected hoists, winches, and aluminum work stations; alloy and carbon steel chain; forged attachments, such as hooks, shackles, textile slings, clamps, and load binders; mechanical and electromechanical actuators and rotary unions; below-the-hook special purpose lifters; and power and motion control systems, among others. Its target market verticals include manufacturing, transportation, energy and utilities, aerospace, and others.</v>
    <v>3478</v>
    <v>Nasdaq Stock Market</v>
    <v>XNAS</v>
    <v>XNAS</v>
    <v>13320 Ballantyne Corporate Place, Suite D, CHARLOTTE, NC, 28277 US</v>
    <v>15.91</v>
    <v>Machinery, Equipment &amp; Components</v>
    <v>Stock</v>
    <v>45954.840324907032</v>
    <v>35</v>
    <v>15.605</v>
    <v>425422100</v>
    <v>COLUMBUS MCKINNON CORPORATION</v>
    <v>COLUMBUS MCKINNON CORPORATION</v>
    <v>15.66</v>
    <v>0</v>
    <v>15.43</v>
    <v>15.75</v>
    <v>15.75</v>
    <v>28725330</v>
    <v>CMCO</v>
    <v>COLUMBUS MCKINNON CORPORATION (XNAS:CMCO)</v>
    <v>209999</v>
    <v>297099</v>
    <v>1929</v>
  </rv>
  <rv s="2">
    <v>36</v>
  </rv>
  <rv s="0">
    <v>https://www.bing.com/financeapi/forcetrigger?t=a1u65r&amp;q=XNYS%3aGRC&amp;form=skydnc</v>
    <v>Learn more on Bing</v>
  </rv>
  <rv s="1">
    <v>0</v>
    <v>THE GORMAN- RUPP COMPANY (XNYS:GRC)</v>
    <v>2</v>
    <v>3</v>
    <v>Finance</v>
    <v>4</v>
    <v>en-US</v>
    <v>a1u65r</v>
    <v>268435456</v>
    <v>1</v>
    <v>Powered by Refinitiv</v>
    <v>49.244999999999997</v>
    <v>30.870899999999999</v>
    <v>1.2422</v>
    <v>-2.5499999999999998</v>
    <v>-5.1913999999999995E-2</v>
    <v>0</v>
    <v>0</v>
    <v>USD</v>
    <v>The Gorman-Rupp Company designs, manufactures, and sells pumps and pump systems for use in water, wastewater, construction, dewatering, industrial, petroleum, original equipment, agriculture, fire protection, heating, ventilating and air conditioning, military, and other liquid-handling applications. The Company’s product line consists of pump models ranging in size from 1/4 to nearly 15 feet and ranging in rated capacity from less than one gallon per minute to nearly one million gallons per minute. The types of pumps which the Company produces include self-priming centrifugal, standard centrifugal, magnetic drive centrifugal, axial and mixed-flow, vertical turbine line shaft, submersible, high-pressure booster, rotary gear, rotary vein, diaphragm, bellows and oscillating. Its pumps have driven that range from 1/35 horsepower electric motors up to larger electric motors or internal combustion engines capable of producing several thousand horsepower.</v>
    <v>1450</v>
    <v>New York Stock Exchange</v>
    <v>XNYS</v>
    <v>XNYS</v>
    <v>PO Box 1217, 600 S Airport Rd, MANSFIELD, OH, 44901 US</v>
    <v>48.6</v>
    <v>Machinery, Equipment &amp; Components</v>
    <v>Stock</v>
    <v>45954.958333356248</v>
    <v>38</v>
    <v>45.000500000000002</v>
    <v>1267753000</v>
    <v>THE GORMAN- RUPP COMPANY</v>
    <v>THE GORMAN- RUPP COMPANY</v>
    <v>48.6</v>
    <v>23.5961</v>
    <v>49.12</v>
    <v>46.57</v>
    <v>46.57</v>
    <v>26312840</v>
    <v>GRC</v>
    <v>THE GORMAN- RUPP COMPANY (XNYS:GRC)</v>
    <v>181874</v>
    <v>104555</v>
    <v>1934</v>
  </rv>
  <rv s="2">
    <v>39</v>
  </rv>
  <rv s="0">
    <v>https://www.bing.com/financeapi/forcetrigger?t=a1nvvh&amp;q=XNYS%3aATKR&amp;form=skydnc</v>
    <v>Learn more on Bing</v>
  </rv>
  <rv s="1">
    <v>0</v>
    <v>ATKORE INC (XNYS:ATKR)</v>
    <v>2</v>
    <v>3</v>
    <v>Finance</v>
    <v>4</v>
    <v>en-US</v>
    <v>a1nvvh</v>
    <v>268435456</v>
    <v>1</v>
    <v>Powered by Refinitiv</v>
    <v>105.27500000000001</v>
    <v>49.92</v>
    <v>2.1133000000000002</v>
    <v>0.4</v>
    <v>5.888E-3</v>
    <v>-0.66</v>
    <v>-9.6589999999999992E-3</v>
    <v>USD</v>
    <v>Atkore Inc. is a manufacturer of electrical products for the non-residential construction and renovation markets, as well as residential markets, and safety and infrastructure products for the construction and industrial markets. The Company’s segments include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OEMs, and end-users. It manufactures products in 42 facilities and operate a total footprint of over 8.5 million square feet of manufacturing and distribution space in eight countries.</v>
    <v>5600</v>
    <v>New York Stock Exchange</v>
    <v>XNYS</v>
    <v>XNYS</v>
    <v>16100 SOUTH LATHROP AVENUE, HARVEY, IL, 60426 US</v>
    <v>69.349999999999994</v>
    <v>Machinery, Equipment &amp; Components</v>
    <v>Stock</v>
    <v>45954.97998891172</v>
    <v>41</v>
    <v>67.989999999999995</v>
    <v>2224981000</v>
    <v>ATKORE INC</v>
    <v>ATKORE INC</v>
    <v>68.97</v>
    <v>21.923400000000001</v>
    <v>67.930000000000007</v>
    <v>68.33</v>
    <v>67.67</v>
    <v>33655740</v>
    <v>ATKR</v>
    <v>ATKORE INC (XNYS:ATKR)</v>
    <v>440411</v>
    <v>582218</v>
    <v>2010</v>
  </rv>
  <rv s="2">
    <v>42</v>
  </rv>
  <rv s="0">
    <v>https://www.bing.com/financeapi/forcetrigger?t=a1n6nm&amp;q=XNYS%3aAIN&amp;form=skydnc</v>
    <v>Learn more on Bing</v>
  </rv>
  <rv s="1">
    <v>0</v>
    <v>ALBANY INTERNATIONAL CORP. (XNYS:AIN)</v>
    <v>2</v>
    <v>3</v>
    <v>Finance</v>
    <v>4</v>
    <v>en-US</v>
    <v>a1n6nm</v>
    <v>268435456</v>
    <v>1</v>
    <v>Powered by Refinitiv</v>
    <v>88.13</v>
    <v>50.6</v>
    <v>1.3871</v>
    <v>-0.16</v>
    <v>-2.6479999999999997E-3</v>
    <v>0</v>
    <v>0</v>
    <v>USD</v>
    <v>Albany International Corp. is a developer and manufacturer of engineered components. It is engaged in advanced textiles and materials processing, specializing in designing and manufacturing high-performance engineered fabrics and composite components and assemblies that serve industries, such as paper, industrial manufacturing, and aerospace. Its Machine Clothing segment is a producer of custom-designed fabrics and high-speed process belts critical in the manufacture of all grades of paper products characterized primarily as paper machine clothing. The segment supplies highly engineered consumable permeable, and impermeable belts. Its Albany Engineered Composites segment provides composite technology solutions and is a manufacturer of engineered components, structures and assemblies for aerospace and defense applications. The segment provides highly engineered, advanced composite structures and assembly solutions to customers and platforms in the commercial and defense markets.</v>
    <v>5400</v>
    <v>New York Stock Exchange</v>
    <v>XNYS</v>
    <v>XNYS</v>
    <v>216 Airport Drive, ROCHESTER, NH, 03867 US</v>
    <v>61.204999999999998</v>
    <v>Machinery, Equipment &amp; Components</v>
    <v>Stock</v>
    <v>45954.958333367969</v>
    <v>44</v>
    <v>60.08</v>
    <v>1691530000</v>
    <v>ALBANY INTERNATIONAL CORP.</v>
    <v>ALBANY INTERNATIONAL CORP.</v>
    <v>61.06</v>
    <v>30.070499999999999</v>
    <v>60.42</v>
    <v>60.26</v>
    <v>60.26</v>
    <v>29500000</v>
    <v>AIN</v>
    <v>ALBANY INTERNATIONAL CORP. (XNYS:AIN)</v>
    <v>268036</v>
    <v>287165</v>
    <v>1987</v>
  </rv>
  <rv s="2">
    <v>45</v>
  </rv>
  <rv s="0">
    <v>https://www.bing.com/financeapi/forcetrigger?t=a1sp52&amp;q=XNYS%3aFCX&amp;form=skydnc</v>
    <v>Learn more on Bing</v>
  </rv>
  <rv s="1">
    <v>0</v>
    <v>FREEPORT-MCMORAN INC. (XNYS:FCX)</v>
    <v>2</v>
    <v>3</v>
    <v>Finance</v>
    <v>4</v>
    <v>en-US</v>
    <v>a1sp52</v>
    <v>268435456</v>
    <v>1</v>
    <v>Powered by Refinitiv</v>
    <v>49.21</v>
    <v>27.66</v>
    <v>1.6307</v>
    <v>0.14000000000000001</v>
    <v>3.3960000000000001E-3</v>
    <v>0.23</v>
    <v>5.5600000000000007E-3</v>
    <v>USD</v>
    <v>Freeport-McMoRan Inc. is an international metals company focused on copper. The Company operates geographically diverse assets with significant proven and probable mineral reserves of copper, gold and molybdenum. The Company's segments include the Morenci and Cerro Verde copper mines, the Indonesia operations (including the Grasberg minerals district and PT-FI’s downstream processing facilities), the Rod &amp; Refining operations and Atlantic Copper Smelting &amp; Refining. Its operations include North America, South America and Indonesia. In North America, it manages seven copper operations: Morenci, Bagdad, Safford (including Lone Star), Sierrita and Miami in Arizona, and Chino and Tyrone in New Mexico, and two molybdenum mines: Henderson and Climax in Colorado. It also operates a copper smelter in Miami, Arizona. In South America, it manages two copper operations: Cerro Verde in Peru and El Abra in Chile. In addition to copper, the Grasberg minerals district also produces gold and silver.</v>
    <v>28500</v>
    <v>New York Stock Exchange</v>
    <v>XNYS</v>
    <v>XNYS</v>
    <v>333 N Central Ave, PHOENIX, AZ, 85004 US</v>
    <v>41.63</v>
    <v>Metals &amp; Mining</v>
    <v>Stock</v>
    <v>45954.999667453128</v>
    <v>47</v>
    <v>40.46</v>
    <v>58550870000</v>
    <v>FREEPORT-MCMORAN INC.</v>
    <v>FREEPORT-MCMORAN INC.</v>
    <v>41.16</v>
    <v>28.819800000000001</v>
    <v>41.23</v>
    <v>41.37</v>
    <v>41.6</v>
    <v>1435774000</v>
    <v>FCX</v>
    <v>FREEPORT-MCMORAN INC. (XNYS:FCX)</v>
    <v>10605287</v>
    <v>26628676</v>
    <v>1987</v>
  </rv>
  <rv s="2">
    <v>48</v>
  </rv>
  <rv s="0">
    <v>https://www.bing.com/financeapi/forcetrigger?t=a1ythw&amp;q=XNYS%3aNUE&amp;form=skydnc</v>
    <v>Learn more on Bing</v>
  </rv>
  <rv s="1">
    <v>0</v>
    <v>NUCOR CORPORATION (XNYS:NUE)</v>
    <v>2</v>
    <v>3</v>
    <v>Finance</v>
    <v>4</v>
    <v>en-US</v>
    <v>a1ythw</v>
    <v>268435456</v>
    <v>1</v>
    <v>Powered by Refinitiv</v>
    <v>170.52</v>
    <v>97.59</v>
    <v>1.7991999999999999</v>
    <v>0.25</v>
    <v>1.8060000000000001E-3</v>
    <v>0.33</v>
    <v>2.379E-3</v>
    <v>USD</v>
    <v>Nucor Corporation is a manufacturer of steel and steel products, with operating facilities in the United States, Canada and Mexico. The Company also produces and procures ferrous and non-ferrous materials primarily for use in its steel manufacturing business. Its segments include steel mills, steel products and raw materials. Its products include carbon and alloy steel in bars, beams, sheet and plate; hollow structural section tubing; electrical conduit; steel racking; steel piling; steel joists and joist girders; steel deck; fabricated concrete reinforcing steel; cold finished steel; precision castings; steel fasteners; metal building systems; insulated metal panels; overhead doors; steel grating; wire and wire mesh; and utility structures. The Company, through The David J. Joseph Company and its affiliates, also brokers ferrous and nonferrous metals, pig iron and hot briquetted iron / direct reduced iron; supplies ferro-alloys; and processes ferrous and nonferrous scrap.</v>
    <v>32700</v>
    <v>New York Stock Exchange</v>
    <v>XNYS</v>
    <v>XNYS</v>
    <v>1915 REXFORD RD, CHARLOTTE, NC, 28211 US</v>
    <v>140.77000000000001</v>
    <v>Metals &amp; Mining</v>
    <v>Stock</v>
    <v>45954.999674039063</v>
    <v>50</v>
    <v>138.34</v>
    <v>31366020000</v>
    <v>NUCOR CORPORATION</v>
    <v>NUCOR CORPORATION</v>
    <v>138.9</v>
    <v>25.047000000000001</v>
    <v>138.44999999999999</v>
    <v>138.69999999999999</v>
    <v>139.03</v>
    <v>229535400</v>
    <v>NUE</v>
    <v>NUCOR CORPORATION (XNYS:NUE)</v>
    <v>1360304</v>
    <v>1604505</v>
    <v>1958</v>
  </rv>
  <rv s="2">
    <v>51</v>
  </rv>
  <rv s="0">
    <v>https://www.bing.com/financeapi/forcetrigger?t=a1oa4c&amp;q=XNYS%3aCIVI&amp;form=skydnc</v>
    <v>Learn more on Bing</v>
  </rv>
  <rv s="1">
    <v>0</v>
    <v>CIVITAS RESOURCES, INC. (XNYS:CIVI)</v>
    <v>2</v>
    <v>3</v>
    <v>Finance</v>
    <v>4</v>
    <v>en-US</v>
    <v>a1oa4c</v>
    <v>268435456</v>
    <v>1</v>
    <v>Powered by Refinitiv</v>
    <v>55.35</v>
    <v>22.79</v>
    <v>1.0103</v>
    <v>-0.61</v>
    <v>-2.0926E-2</v>
    <v>0.31</v>
    <v>1.0862E-2</v>
    <v>USD</v>
    <v>Civitas Resources, Inc. is an independent exploration and production company. It is focused on the acquisition, development and production of crude oil and liquids-rich natural gas from its premier assets in the Permian Basin in Texas and New Mexico and the DJ Basin in Colorado. Its development facilities are in Southeastern New Mexico and West Texas, and in counties across the Front Range of northern and central Colorado. Its DJ Basin assets are comprised of over 274,400 net acres located in Weld, Arapahoe, Adams, and Boulder counties, Colorado. Its operations in the DJ Basin target the Niobrara and Codell formations. Its Permian Basin assets are comprised of over 120,400 net acres located in Upton, Reagan, Glasscock, Martin, Midland, Reeves, and Loving counties, Texas and Eddy and Lea counties, New Mexico. Its operations in the Permian Basin primarily target the Spraberry and Wolfcamp formations of the Midland Basin and the Wolfcamp and Bone Spring formations of the Delaware Basin.</v>
    <v>655</v>
    <v>New York Stock Exchange</v>
    <v>XNYS</v>
    <v>XNYS</v>
    <v>555 - 17Th Street, Suite 3700, DENVER, CO, 80202 US</v>
    <v>29.46</v>
    <v>Oil &amp; Gas</v>
    <v>Stock</v>
    <v>45954.981133575784</v>
    <v>53</v>
    <v>28.510999999999999</v>
    <v>2539811000</v>
    <v>CIVITAS RESOURCES, INC.</v>
    <v>CIVITAS RESOURCES, INC.</v>
    <v>29.29</v>
    <v>3.6141999999999999</v>
    <v>29.15</v>
    <v>28.54</v>
    <v>28.85</v>
    <v>92660010</v>
    <v>CIVI</v>
    <v>CIVITAS RESOURCES, INC. (XNYS:CIVI)</v>
    <v>1085550</v>
    <v>2738810</v>
    <v>2010</v>
  </rv>
  <rv s="2">
    <v>54</v>
  </rv>
  <rv s="0">
    <v>https://www.bing.com/financeapi/forcetrigger?t=a1xjlh&amp;q=XNYS%3aMG&amp;form=skydnc</v>
    <v>Learn more on Bing</v>
  </rv>
  <rv s="1">
    <v>0</v>
    <v>MISTRAS GROUP, INC. (XNYS:MG)</v>
    <v>2</v>
    <v>3</v>
    <v>Finance</v>
    <v>4</v>
    <v>en-US</v>
    <v>a1xjlh</v>
    <v>268435456</v>
    <v>1</v>
    <v>Powered by Refinitiv</v>
    <v>11.45</v>
    <v>7.06</v>
    <v>1.2643</v>
    <v>0.11</v>
    <v>1.1089E-2</v>
    <v>0</v>
    <v>0</v>
    <v>USD</v>
    <v>Mistras Group, Inc. is a provider of integrated technology-enabled asset protection solutions. Its segments include North America, International and Products and Systems. Its North America segment provides asset protection solutions in the United States and Canada, which consist primarily of non-destructive testing, inspection, in-laboratory testing, mechanical and engineering services that are used to evaluate the structural integrity and reliability of critical energy, industrial and public infrastructure and commercial aerospace components. Software, digital and data analytical solutions and services are included in this segment. Its International segment offers services, products and systems similar to those of the other segments to select markets within Europe, the Middle East, Africa, Asia and South America. The Products and Systems segment designs, manufactures, sells, installs and services its asset protection products and systems, including equipment and instrumentation.</v>
    <v>4800</v>
    <v>New York Stock Exchange</v>
    <v>XNYS</v>
    <v>XNYS</v>
    <v>195 Clarksville Rd, PRINCETON JUNCTION, NJ, 08550-5392 US</v>
    <v>10.209899999999999</v>
    <v>Oil &amp; Gas</v>
    <v>Stock</v>
    <v>45954.958333367969</v>
    <v>56</v>
    <v>9.9700000000000006</v>
    <v>306549800</v>
    <v>MISTRAS GROUP, INC.</v>
    <v>MISTRAS GROUP, INC.</v>
    <v>10.09</v>
    <v>28.020700000000001</v>
    <v>9.92</v>
    <v>10.029999999999999</v>
    <v>10.029999999999999</v>
    <v>31538050</v>
    <v>MG</v>
    <v>MISTRAS GROUP, INC. (XNYS:MG)</v>
    <v>83191</v>
    <v>115284</v>
    <v>1994</v>
  </rv>
  <rv s="2">
    <v>57</v>
  </rv>
  <rv s="0">
    <v>https://www.bing.com/financeapi/forcetrigger?t=a234fr&amp;q=XNYS%3aSM&amp;form=skydnc</v>
    <v>Learn more on Bing</v>
  </rv>
  <rv s="1">
    <v>0</v>
    <v>SM ENERGY COMPANY (XNYS:SM)</v>
    <v>2</v>
    <v>3</v>
    <v>Finance</v>
    <v>4</v>
    <v>en-US</v>
    <v>a234fr</v>
    <v>268435456</v>
    <v>1</v>
    <v>Powered by Refinitiv</v>
    <v>46.42</v>
    <v>19.670000000000002</v>
    <v>2.3189000000000002</v>
    <v>-0.73</v>
    <v>-3.3922000000000001E-2</v>
    <v>0.31</v>
    <v>1.4911000000000001E-2</v>
    <v>USD</v>
    <v>SM Energy Company is an independent energy company. The Company is engaged in the acquisition, exploration, development, and production of crude oil, natural gas, and natural gas liquids (NGLs) in the states of Texas and Utah. Its asset portfolio comprises assets in the Midland Basin of West Texas, the Maverick Basin of South Texas, and the Uinta Basin of northeastern Utah. Its Midland Basin assets are located in the Permian Basin in West Texas, are comprised of over 110,000 net acres, and include its RockStar assets in Howard and Martin counties, Sweetie Peck assets in Upton and Midland counties, and Klondike assets in Dawson and northern Martin counties. Its South Texas assets are comprised of over 155,000 net acres located in Dimmit and Webb counties, Texas. Its overlapping acreage position in South Texas covers a portion of the western Eagle Ford shale and Austin Chalk formations. Its Uinta Basin assets comprise over 63,300 net acres located in northeastern Utah.</v>
    <v>663</v>
    <v>New York Stock Exchange</v>
    <v>XNYS</v>
    <v>XNYS</v>
    <v>1700 LINCOLN STREET, SUITE 3200, DENVER, CO, 80203 US</v>
    <v>21.67</v>
    <v>Oil &amp; Gas</v>
    <v>Stock</v>
    <v>45954.995330821097</v>
    <v>59</v>
    <v>20.79</v>
    <v>2360005000</v>
    <v>SM ENERGY COMPANY</v>
    <v>SM ENERGY COMPANY</v>
    <v>21.64</v>
    <v>2.9401999999999999</v>
    <v>21.52</v>
    <v>20.79</v>
    <v>21.1</v>
    <v>114954000</v>
    <v>SM</v>
    <v>SM ENERGY COMPANY (XNYS:SM)</v>
    <v>2033434</v>
    <v>2740758</v>
    <v>1915</v>
  </rv>
  <rv s="2">
    <v>60</v>
  </rv>
  <rv s="0">
    <v>https://www.bing.com/financeapi/forcetrigger?t=a1q5nm&amp;q=XNYS%3aCOP&amp;form=skydnc</v>
    <v>Learn more on Bing</v>
  </rv>
  <rv s="1">
    <v>0</v>
    <v>CONOCOPHILLIPS (XNYS:COP)</v>
    <v>2</v>
    <v>3</v>
    <v>Finance</v>
    <v>4</v>
    <v>en-US</v>
    <v>a1q5nm</v>
    <v>268435456</v>
    <v>1</v>
    <v>Powered by Refinitiv</v>
    <v>115.38</v>
    <v>79.88</v>
    <v>0.59740000000000004</v>
    <v>-2.0499999999999998</v>
    <v>-2.2757999999999997E-2</v>
    <v>1.01E-2</v>
    <v>1.147E-4</v>
    <v>USD</v>
    <v>ConocoPhillips is an exploration and production company. Its Alaska segment primarily explores for, produces, transports and markets crude oil, natural gas and NGLs. The Lower 48 segment consists of operations located in the 48 contiguous states in the United States and the Gulf of Mexico. Canadian operations consist of the Surmont oil sands development in Alberta, the liquids-rich Montney unconventional play in British Columbia and commercial operations. The Europe, Middle East and North Africa segment consists of operations principally located in the Norwegian sector of the North Sea, the Norwegian Sea, Qatar, Libya, Equatorial Guinea and commercial and terminalling operations in the United Kingdom. Asia Pacific segment has exploration and production operations in China, Malaysia, Australia and commercial operations in China, Singapore and Japan. Other International segment includes interests in Colombia as well as contingencies associated with prior operations in other countries.</v>
    <v>11700</v>
    <v>New York Stock Exchange</v>
    <v>XNYS</v>
    <v>XNYS</v>
    <v>925 N. Eldridge Parkway, HOUSTON, TX, 77079-2703 US</v>
    <v>90.6</v>
    <v>Oil &amp; Gas</v>
    <v>Stock</v>
    <v>45954.996643159378</v>
    <v>62</v>
    <v>87.93</v>
    <v>109170000000</v>
    <v>CONOCOPHILLIPS</v>
    <v>CONOCOPHILLIPS</v>
    <v>90.49</v>
    <v>11.810499999999999</v>
    <v>90.08</v>
    <v>88.03</v>
    <v>88.040099999999995</v>
    <v>1248942000</v>
    <v>COP</v>
    <v>CONOCOPHILLIPS (XNYS:COP)</v>
    <v>7886582</v>
    <v>6743494</v>
    <v>2001</v>
  </rv>
  <rv s="2">
    <v>63</v>
  </rv>
  <rv s="0">
    <v>https://www.bing.com/financeapi/forcetrigger?t=a1nkur&amp;q=XNAS%3aAPA&amp;form=skydnc</v>
    <v>Learn more on Bing</v>
  </rv>
  <rv s="1">
    <v>0</v>
    <v>APA CORPORATION (XNAS:APA)</v>
    <v>2</v>
    <v>3</v>
    <v>Finance</v>
    <v>4</v>
    <v>en-US</v>
    <v>a1nkur</v>
    <v>268435456</v>
    <v>1</v>
    <v>Powered by Refinitiv</v>
    <v>25.824999999999999</v>
    <v>13.584</v>
    <v>1.1345000000000001</v>
    <v>-0.79</v>
    <v>-3.2087999999999998E-2</v>
    <v>0.06</v>
    <v>2.5180000000000003E-3</v>
    <v>USD</v>
    <v>APA Corporation is an independent energy company. The Company owns subsidiaries that explore for and produce oil and natural gas in the United States, Egypt, and the United Kingdom, and that explore for oil and natural gas offshore Suriname. The Company’s upstream business has oil and gas operations in three geographic areas: the United States, Egypt and offshore the United Kingdom in the North Sea (North Sea). It also has active exploration and appraisal operations ongoing in Suriname, as well as interests in Uruguay and other international locations. It maintains a diversified asset portfolio, including conventional and unconventional, onshore and offshore, oil and natural gas exploration and production interests. In the United States, operations are primarily focused on the Permian Basin of West Texas. The Company has conventional onshore assets in Egypt’s Western Desert, and offshore assets on the United Kingdom’s Continental Shelf.</v>
    <v>2305</v>
    <v>Nasdaq Stock Market</v>
    <v>XNAS</v>
    <v>XNAS</v>
    <v>2000 W Sam Houston Pkwy S, Suite 200, HOUSTON, TX, 77042 US</v>
    <v>24.71</v>
    <v>Oil &amp; Gas</v>
    <v>Stock</v>
    <v>45954.994789142969</v>
    <v>65</v>
    <v>23.8</v>
    <v>8189732000</v>
    <v>APA CORPORATION</v>
    <v>APA CORPORATION</v>
    <v>24.66</v>
    <v>7.9888000000000003</v>
    <v>24.62</v>
    <v>23.83</v>
    <v>23.89</v>
    <v>357786500</v>
    <v>APA</v>
    <v>APA CORPORATION (XNAS:APA)</v>
    <v>6165430</v>
    <v>7435833</v>
    <v>2021</v>
  </rv>
  <rv s="2">
    <v>66</v>
  </rv>
  <rv s="0">
    <v>https://www.bing.com/financeapi/forcetrigger?t=a1undm&amp;q=XNYS%3aDINO&amp;form=skydnc</v>
    <v>Learn more on Bing</v>
  </rv>
  <rv s="7">
    <v>10</v>
    <v>HF SINCLAIR CORPORATION (XNYS:DINO)</v>
    <v>2</v>
    <v>11</v>
    <v>Finance</v>
    <v>4</v>
    <v>en-US</v>
    <v>a1undm</v>
    <v>268435456</v>
    <v>1</v>
    <v>Powered by Refinitiv</v>
    <v>55.625</v>
    <v>24.66</v>
    <v>0.96309999999999996</v>
    <v>-0.31</v>
    <v>-5.6520000000000008E-3</v>
    <v>0.36499999999999999</v>
    <v>6.692E-3</v>
    <v>USD</v>
    <v>HF Sinclair Corporation is an independent energy company that produces and markets light products, such as gasoline, diesel fuel, jet fuel, renewable diesel and other specialty products. Its segments include Refining, Renewables, Marketing, Lubricants &amp; Specialties, and Midstream. The Refining segment includes the operations of its El Dorado, Tulsa, Puget Sound, Navajo, Woods Cross, Parco and Casper Refineries and Asphalt. The Renewables segment includes the operations of the Artesia, Cheyenne and Sinclair RDUs and the Artesia PTU. The Marketing segment includes branded fuel sales. The Lubricants &amp; Specialties segment includes the operations of its Petro-Canada Lubricants, Red Giant Oil and Sonneborn businesses in addition to specialty lubricant products produced at its Tulsa West refinery. The Midstream segment includes petroleum product and crude pipelines, terminal, tankage and loading rack facilities, and refinery processing units that primarily support its refining operations.</v>
    <v>5297</v>
    <v>New York Stock Exchange</v>
    <v>XNYS</v>
    <v>XNYS</v>
    <v>2323 Victory Avenue, Suite 1400, DALLAS, TX, 75219 US</v>
    <v>55.625</v>
    <v>Oil &amp; Gas</v>
    <v>Stock</v>
    <v>45954.992970589847</v>
    <v>68</v>
    <v>54.5</v>
    <v>9894690000</v>
    <v>HF SINCLAIR CORPORATION</v>
    <v>HF SINCLAIR CORPORATION</v>
    <v>55</v>
    <v>54.85</v>
    <v>54.54</v>
    <v>54.905000000000001</v>
    <v>187080600</v>
    <v>DINO</v>
    <v>HF SINCLAIR CORPORATION (XNYS:DINO)</v>
    <v>1265791</v>
    <v>1906139</v>
    <v>2021</v>
  </rv>
  <rv s="2">
    <v>69</v>
  </rv>
  <rv s="0">
    <v>https://www.bing.com/financeapi/forcetrigger?t=a1zez2&amp;q=XNYS%3aOXY&amp;form=skydnc</v>
    <v>Learn more on Bing</v>
  </rv>
  <rv s="1">
    <v>0</v>
    <v>OCCIDENTAL PETROLEUM CORPORATION (XNYS:OXY)</v>
    <v>2</v>
    <v>3</v>
    <v>Finance</v>
    <v>4</v>
    <v>en-US</v>
    <v>a1zez2</v>
    <v>268435456</v>
    <v>1</v>
    <v>Powered by Refinitiv</v>
    <v>53.2</v>
    <v>34.784999999999997</v>
    <v>0.92989999999999995</v>
    <v>-0.31</v>
    <v>-7.2290000000000002E-3</v>
    <v>6.8699999999999997E-2</v>
    <v>1.614E-3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43.174999999999997</v>
    <v>Oil &amp; Gas</v>
    <v>Stock</v>
    <v>45954.999583876561</v>
    <v>71</v>
    <v>42.53</v>
    <v>41080670000</v>
    <v>OCCIDENTAL PETROLEUM CORPORATION</v>
    <v>OCCIDENTAL PETROLEUM CORPORATION</v>
    <v>43</v>
    <v>25.075700000000001</v>
    <v>42.88</v>
    <v>42.57</v>
    <v>42.6387</v>
    <v>984439800</v>
    <v>OXY</v>
    <v>OCCIDENTAL PETROLEUM CORPORATION (XNYS:OXY)</v>
    <v>7213344</v>
    <v>12465373</v>
    <v>1986</v>
  </rv>
  <rv s="2">
    <v>72</v>
  </rv>
  <rv s="0">
    <v>https://www.bing.com/financeapi/forcetrigger?t=a1yhw7&amp;q=XNYS%3aNGS&amp;form=skydnc</v>
    <v>Learn more on Bing</v>
  </rv>
  <rv s="1">
    <v>0</v>
    <v>NATURAL GAS SERVICES GROUP, INC. (XNYS:NGS)</v>
    <v>2</v>
    <v>3</v>
    <v>Finance</v>
    <v>4</v>
    <v>en-US</v>
    <v>a1yhw7</v>
    <v>268435456</v>
    <v>1</v>
    <v>Powered by Refinitiv</v>
    <v>29.74</v>
    <v>16.7301</v>
    <v>0.59379999999999999</v>
    <v>-0.28999999999999998</v>
    <v>-1.0357E-2</v>
    <v>0</v>
    <v>0</v>
    <v>USD</v>
    <v>Natural Gas Services Group, Inc. is a provider of natural gas compression equipment, technology, and services to the energy industry. The Company rents, operates and maintains natural gas compressors for oil and gas production and processing facilities. In addition, the Company designs and assembles compressor units for rental to its customers and provides aftermarket services in the form of call-out services on customer-owned equipment, as well as commissioning of new units for customers. Its rental compression units provide large, medium and small horsepower applications for conventional and unconventional oil and gas production. It also provides an exchange and rebuilds program for small horsepower screw compressors and maintains an inventory of new and used compressors to facilitate this part of its business. It has approximately 1,912 natural gas compressors in its rental fleet, totaling 598,840 horsepower.</v>
    <v>245</v>
    <v>New York Stock Exchange</v>
    <v>XNYS</v>
    <v>XNYS</v>
    <v>404 Veterans Airpark Lane, Suite 300, MIDLAND, TX, 79705 US</v>
    <v>28.5</v>
    <v>Oil &amp; Gas Related Equipment and Services</v>
    <v>Stock</v>
    <v>45954.981728680468</v>
    <v>74</v>
    <v>27.55</v>
    <v>346418700</v>
    <v>NATURAL GAS SERVICES GROUP, INC.</v>
    <v>NATURAL GAS SERVICES GROUP, INC.</v>
    <v>28.15</v>
    <v>19.486499999999999</v>
    <v>28</v>
    <v>27.71</v>
    <v>27.71</v>
    <v>12542310</v>
    <v>NGS</v>
    <v>NATURAL GAS SERVICES GROUP, INC. (XNYS:NGS)</v>
    <v>46227</v>
    <v>59918</v>
    <v>1998</v>
  </rv>
  <rv s="2">
    <v>75</v>
  </rv>
  <rv s="0">
    <v>https://www.bing.com/financeapi/forcetrigger?t=a21icw&amp;q=XNAS%3aPYPL&amp;form=skydnc</v>
    <v>Learn more on Bing</v>
  </rv>
  <rv s="1">
    <v>0</v>
    <v>PAYPAL HOLDINGS, INC. (XNAS:PYPL)</v>
    <v>2</v>
    <v>3</v>
    <v>Finance</v>
    <v>4</v>
    <v>en-US</v>
    <v>a21icw</v>
    <v>268435456</v>
    <v>1</v>
    <v>Powered by Refinitiv</v>
    <v>93.66</v>
    <v>55.85</v>
    <v>1.4487000000000001</v>
    <v>0.11</v>
    <v>1.5790000000000001E-3</v>
    <v>0.03</v>
    <v>4.2999999999999999E-4</v>
    <v>USD</v>
    <v>PayPal Holdings, Inc. offers a technology platform. The Company’s products are designed to enable digital payments and simplify commerce experiences for consumers and merchants to make selling, shopping, and sending and receiving money simple, personalized, and secure, online or offline, including mobile. It provides consumers with a digital wallet that enables them to send payments to merchants securely using a variety of funding sources, which include a bank account, a PayPal or Venmo account balance, its consumer credit products, a credit card, a debit card, certain cryptocurrencies, or other stored value products. It operates a global, two-sided network at scale that connects consumers and merchants with 434 million active accounts across approximately 200 markets. Its brands include PayPal, Braintree, Venmo, Xoom, Hyperwallet, PayPal Zettle, PayPal Honey, and Paidy. It offers financing products through the PayPal Working Capital (PPWC) and PayPal Business Loan (PPBL).</v>
    <v>24400</v>
    <v>Nasdaq Stock Market</v>
    <v>XNAS</v>
    <v>XNAS</v>
    <v>2211 N 1st St, SAN JOSE, CA, 95131 US</v>
    <v>71.25</v>
    <v>Professional &amp; Commercial Services</v>
    <v>Stock</v>
    <v>45954.999912430467</v>
    <v>77</v>
    <v>69.739999999999995</v>
    <v>65032610000</v>
    <v>PAYPAL HOLDINGS, INC.</v>
    <v>PAYPAL HOLDINGS, INC.</v>
    <v>70.150000000000006</v>
    <v>14.930400000000001</v>
    <v>69.66</v>
    <v>69.77</v>
    <v>69.8</v>
    <v>955378400</v>
    <v>PYPL</v>
    <v>PAYPAL HOLDINGS, INC. (XNAS:PYPL)</v>
    <v>8638209</v>
    <v>15177473</v>
    <v>2015</v>
  </rv>
  <rv s="2">
    <v>78</v>
  </rv>
  <rv s="8">
    <v>12</v>
    <v>NEXTRACKER INC. (XNAS:NXT)</v>
    <v>13</v>
    <v>3</v>
    <v>Finance</v>
    <v>4</v>
    <v>en-US</v>
    <v>c8ssgh</v>
    <v>268435456</v>
    <v>1</v>
    <v>Powered by Refinitiv</v>
    <v>101.98</v>
    <v>31.18</v>
    <v>1.48</v>
    <v>7.9</v>
    <v>8.7409000000000001E-2</v>
    <v>0.03</v>
    <v>3.0529999999999999E-4</v>
    <v>USD</v>
    <v>Nextracker Inc. delivers a solar power technology platform with integrated tracker, electrical solutions, and yield management and control systems for utility-scale and distributed generation projects. The Company's advanced technology enables solar power plants to follow the sun’s movement across the sky and optimize performance. With systems operating in more than 40 countries worldwide, it offers solutions that accelerate solar power plant construction, increase energy output, and enhance long-term reliability. The Company's products &amp; services include Solar Trackers, Foundations, eBOS, Software &amp; Controls, NX Global Services and PowerworX. The Company's solutions include agrivoltaics, module compatibility, mitigate extreme weather risk, challenging terrain and intelligent monitoring. Its artificial intelligence (AI) and robotics business includes SenseHawk IP and Amir Robotics. It is also engaged in the solar panel frame market, specializing in roll-formed steel frame technology.</v>
    <v>1300</v>
    <v>Nasdaq Stock Market</v>
    <v>XNAS</v>
    <v>XNAS</v>
    <v>6200 Paseo Padre Pkwy, FREMONT, CA, 94555 US</v>
    <v>101.98</v>
    <v>Renewable Energy</v>
    <v>Stock</v>
    <v>45954.998541770314</v>
    <v>95.87</v>
    <v>12954250000</v>
    <v>NEXTRACKER INC.</v>
    <v>NEXTRACKER INC.</v>
    <v>100.29</v>
    <v>25.541399999999999</v>
    <v>90.38</v>
    <v>98.28</v>
    <v>98.31</v>
    <v>147964000</v>
    <v>NXT</v>
    <v>NEXTRACKER INC. (XNAS:NXT)</v>
    <v>5184028</v>
    <v>2416691</v>
    <v>2022</v>
  </rv>
  <rv s="2">
    <v>80</v>
  </rv>
  <rv s="0">
    <v>https://www.bing.com/financeapi/forcetrigger?t=a1y4oc&amp;q=XNAS%3aMU&amp;form=skydnc</v>
    <v>Learn more on Bing</v>
  </rv>
  <rv s="1">
    <v>0</v>
    <v>MICRON TECHNOLOGY, INC. (XNAS:MU)</v>
    <v>2</v>
    <v>3</v>
    <v>Finance</v>
    <v>4</v>
    <v>en-US</v>
    <v>a1y4oc</v>
    <v>268435456</v>
    <v>1</v>
    <v>Powered by Refinitiv</v>
    <v>219.82</v>
    <v>61.54</v>
    <v>1.5940000000000001</v>
    <v>12.31</v>
    <v>5.9551999999999994E-2</v>
    <v>0.47989999999999999</v>
    <v>2.1909999999999998E-3</v>
    <v>USD</v>
    <v>Micron Technology, Inc. provides memory and storage solutions. The Company delivers a portfolio of high-performance dynamic random-access memory (DRAM), NAND, and NOR memory and storage products through its Micron and Crucial brands. The Company's products enable advancing in artificial intelligence (AI) and compute-intensive applications. Its segments include Compute and Networking Business Unit (CNBU), Mobile Business Unit (MBU), Embedded Business Unit (EBU), and Storage Business Unit (SBU). CNBU segment includes memory products and solutions sold into the data center, PC, graphics, and networking markets. MBU segment includes memory and storage products sold into the smartphone and other mobile-device markets. EBU segment includes memory and storage products and solutions sold into the intelligent edge through the automotive, industrial, and consumer embedded markets. SBU segment includes SSDs and component-level storage solutions sold into the data center, PC, and consumer markets.</v>
    <v>53000</v>
    <v>Nasdaq Stock Market</v>
    <v>XNAS</v>
    <v>XNAS</v>
    <v>8000 S Federal Way, Po Box 6, BOISE, ID, 83716-9632 US</v>
    <v>219.82</v>
    <v>Semiconductors &amp; Semiconductor Equipment</v>
    <v>Stock</v>
    <v>45954.999929953126</v>
    <v>82</v>
    <v>209.98</v>
    <v>222775800000</v>
    <v>MICRON TECHNOLOGY, INC.</v>
    <v>MICRON TECHNOLOGY, INC.</v>
    <v>212.39</v>
    <v>28.886500000000002</v>
    <v>206.71</v>
    <v>219.02</v>
    <v>219.4999</v>
    <v>1122466000</v>
    <v>MU</v>
    <v>MICRON TECHNOLOGY, INC. (XNAS:MU)</v>
    <v>25821756</v>
    <v>27947245</v>
    <v>1984</v>
  </rv>
  <rv s="2">
    <v>83</v>
  </rv>
  <rv s="0">
    <v>http://en.wikipedia.org/wiki/Qualcomm</v>
    <v>Wikipedia</v>
  </rv>
  <rv s="3">
    <v>3</v>
    <v>85</v>
  </rv>
  <rv s="4">
    <v>9</v>
    <v>https://www.bing.com/th?id=AMMS_2b1c176dae370ecc0d55a1517537f595&amp;qlt=95</v>
    <v>86</v>
    <v>0</v>
    <v>https://www.bing.com/images/search?form=xlimg&amp;q=qualcomm</v>
    <v>Image of QUALCOMM INCORPORATED</v>
  </rv>
  <rv s="0">
    <v>https://www.bing.com/financeapi/forcetrigger?t=a21k2w&amp;q=XNAS%3aQCOM&amp;form=skydnc</v>
    <v>Learn more on Bing</v>
  </rv>
  <rv s="5">
    <v>5</v>
    <v>QUALCOMM INCORPORATED (XNAS:QCOM)</v>
    <v>7</v>
    <v>8</v>
    <v>Finance</v>
    <v>4</v>
    <v>en-US</v>
    <v>a21k2w</v>
    <v>268435456</v>
    <v>1</v>
    <v>Powered by Refinitiv</v>
    <v>182.1</v>
    <v>120.8019</v>
    <v>1.2559</v>
    <v>-1.0900000000000001</v>
    <v>-6.411E-3</v>
    <v>0.16</v>
    <v>9.4709999999999998E-4</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49000</v>
    <v>Nasdaq Stock Market</v>
    <v>XNAS</v>
    <v>XNAS</v>
    <v>5775 Morehouse Drive, SAN DIEGO, CA, 92121 US</v>
    <v>172.42</v>
    <v>87</v>
    <v>Semiconductors &amp; Semiconductor Equipment</v>
    <v>Stock</v>
    <v>45954.998765022654</v>
    <v>88</v>
    <v>168.47</v>
    <v>182439200000</v>
    <v>QUALCOMM INCORPORATED</v>
    <v>QUALCOMM INCORPORATED</v>
    <v>171.69</v>
    <v>16.304300000000001</v>
    <v>170.03</v>
    <v>168.94</v>
    <v>169.1</v>
    <v>1077800000</v>
    <v>QCOM</v>
    <v>QUALCOMM INCORPORATED (XNAS:QCOM)</v>
    <v>6255987</v>
    <v>7858908</v>
    <v>1991</v>
  </rv>
  <rv s="2">
    <v>89</v>
  </rv>
  <rv s="0">
    <v>https://www.bing.com/financeapi/forcetrigger?t=a1mt9c&amp;q=XNAS%3aACLS&amp;form=skydnc</v>
    <v>Learn more on Bing</v>
  </rv>
  <rv s="1">
    <v>0</v>
    <v>AXCELIS TECHNOLOGIES, INC. (XNAS:ACLS)</v>
    <v>2</v>
    <v>3</v>
    <v>Finance</v>
    <v>4</v>
    <v>en-US</v>
    <v>a1mt9c</v>
    <v>268435456</v>
    <v>1</v>
    <v>Powered by Refinitiv</v>
    <v>102.93</v>
    <v>40.4</v>
    <v>1.7748999999999999</v>
    <v>-1.05</v>
    <v>-1.2447E-2</v>
    <v>0.02</v>
    <v>2.4010000000000001E-4</v>
    <v>USD</v>
    <v>Axcelis Technologies, Inc. provides high-productivity solutions for the semiconductor industry. The Company is focused on developing enabling process applications through the design, manufacture and complete life cycle support of ion implantation systems, one of the critical and enabling steps in the IC manufacturing process. Its ion implantation products include high current ion implant, high energy ion implant and medium current ion implant. The Company's Purion H, Purion Dragon, Purion H200, and GSD/E2 Ovation spot beam, high current systems cover all traditional high current requirements as well as those associated with emerging and future devices. Its Purion XE, EXE, and other Purion high energy systems combine its production-proven RF Linac high energy, spot beam technology with the Purion platform wafer handling system. Its medium current ion implant products include its Purion M Si and SiC medium current systems. It also offers its customers aftermarket service and support.</v>
    <v>1524</v>
    <v>Nasdaq Stock Market</v>
    <v>XNAS</v>
    <v>XNAS</v>
    <v>108 Cherry Hill Dr, BEVERLY, MA, 01915 US</v>
    <v>85.533699999999996</v>
    <v>Semiconductors &amp; Semiconductor Equipment</v>
    <v>Stock</v>
    <v>45954.980231562498</v>
    <v>91</v>
    <v>83.3</v>
    <v>2523201000</v>
    <v>AXCELIS TECHNOLOGIES, INC.</v>
    <v>AXCELIS TECHNOLOGIES, INC.</v>
    <v>85.38</v>
    <v>17.026900000000001</v>
    <v>84.36</v>
    <v>83.31</v>
    <v>83.33</v>
    <v>30997550</v>
    <v>ACLS</v>
    <v>AXCELIS TECHNOLOGIES, INC. (XNAS:ACLS)</v>
    <v>359678</v>
    <v>750784</v>
    <v>1995</v>
  </rv>
  <rv s="2">
    <v>92</v>
  </rv>
  <rv s="0">
    <v>https://www.bing.com/financeapi/forcetrigger?t=a244ur&amp;q=XNAS%3aTER&amp;form=skydnc</v>
    <v>Learn more on Bing</v>
  </rv>
  <rv s="1">
    <v>0</v>
    <v>TERADYNE, INC. (XNAS:TER)</v>
    <v>2</v>
    <v>3</v>
    <v>Finance</v>
    <v>4</v>
    <v>en-US</v>
    <v>a244ur</v>
    <v>268435456</v>
    <v>1</v>
    <v>Powered by Refinitiv</v>
    <v>150.71</v>
    <v>65.77</v>
    <v>1.8740000000000001</v>
    <v>-0.76</v>
    <v>-5.2399999999999999E-3</v>
    <v>0.97</v>
    <v>6.7229999999999998E-3</v>
    <v>USD</v>
    <v>Teradyne, Inc. is a global supplier of automated test equipment and robotics solutions. It designs, develops, manufactures and sells automated test systems and robotics products. Its segment includes Semiconductor Test, Robotics, and Product Test. The Semiconductor Test segment includes operations related to the design, manufacturing and marketing of semiconductor test products and services, inclusive of storage and system level test products. The Robotics segment includes operations related to the design, manufacturing and marketing of collaborative robotic arms and autonomous mobile robots. The Product Test segment includes operations related to the design, manufacturing and marketing of products and services for defense/aerospace test, circuit-board test, wireless test systems, and silicon photonics testing. Its offerings also include defense/aerospace test instrumentation and systems, circuit-board test and inspection (production board test) systems, and wireless test systems.</v>
    <v>6500</v>
    <v>Nasdaq Stock Market</v>
    <v>XNAS</v>
    <v>XNAS</v>
    <v>600 Riverpark Dr, NORTH READING, MA, 01864-2634 US</v>
    <v>149</v>
    <v>Semiconductors &amp; Semiconductor Equipment</v>
    <v>Stock</v>
    <v>45954.999948332814</v>
    <v>94</v>
    <v>144.07</v>
    <v>22085770000</v>
    <v>TERADYNE, INC.</v>
    <v>TERADYNE, INC.</v>
    <v>147.56</v>
    <v>50.0473</v>
    <v>145.04</v>
    <v>144.28</v>
    <v>145.25</v>
    <v>159073500</v>
    <v>TER</v>
    <v>TERADYNE, INC. (XNAS:TER)</v>
    <v>2079994</v>
    <v>3493923</v>
    <v>1960</v>
  </rv>
  <rv s="2">
    <v>95</v>
  </rv>
  <rv s="0">
    <v>http://es.wikipedia.org/wiki/Adobe_(empresa)</v>
    <v>Wikipedia</v>
  </rv>
  <rv s="3">
    <v>3</v>
    <v>97</v>
  </rv>
  <rv s="4">
    <v>9</v>
    <v>https://www.bing.com/th?id=AMMS_503c684ccc667ad525fe1d703881df2c&amp;qlt=95</v>
    <v>98</v>
    <v>0</v>
    <v>https://www.bing.com/images/search?form=xlimg&amp;q=adobe+systems</v>
    <v>Image of ADOBE INC.</v>
  </rv>
  <rv s="0">
    <v>https://www.bing.com/financeapi/forcetrigger?t=a1mv7w&amp;q=XNAS%3aADBE&amp;form=skydnc</v>
    <v>Learn more on Bing</v>
  </rv>
  <rv s="5">
    <v>5</v>
    <v>ADOBE INC. (XNAS:ADBE)</v>
    <v>7</v>
    <v>8</v>
    <v>Finance</v>
    <v>4</v>
    <v>en-US</v>
    <v>a1mv7w</v>
    <v>268435456</v>
    <v>1</v>
    <v>Powered by Refinitiv</v>
    <v>557.8999</v>
    <v>327.5</v>
    <v>1.4796</v>
    <v>-0.6</v>
    <v>-1.694E-3</v>
    <v>0.42</v>
    <v>1.188E-3</v>
    <v>USD</v>
    <v>Adobe Inc. is a global technology company. The Company's products, services and solutions are used around the world to imagine, create, manage, deliver, measure, optimize and engage with content across surfaces and fuel digital experiences. Its segments include Digital Media, Digital Experience, and Publishing and Advertising. The Digital Media segment is centered around Adobe Creative Cloud and Adobe Document Cloud, which include Adobe Express, Adobe Firefly, Photoshop and other products, offering a variety of tools for creative professionals, communicators and other consumers. The Digital Experience segment provides an integrated platform and set of products, services and solutions through Adobe Experience Cloud. The Publishing and Advertising segment contains legacy products and services. In addition, its Adobe GenStudio solution allows businesses to simplify their content supply chain process with generative artificial intelligence (AI) capabilities and intelligent automation.</v>
    <v>30709</v>
    <v>Nasdaq Stock Market</v>
    <v>XNAS</v>
    <v>XNAS</v>
    <v>345 Park Avenue, SAN JOSE, CA, 95110-2704 US</v>
    <v>358.1</v>
    <v>99</v>
    <v>Software &amp; IT Services</v>
    <v>Stock</v>
    <v>45954.999977500003</v>
    <v>100</v>
    <v>353.29</v>
    <v>148222100000</v>
    <v>ADOBE INC.</v>
    <v>ADOBE INC.</v>
    <v>357.21</v>
    <v>22.031400000000001</v>
    <v>354.12</v>
    <v>353.52</v>
    <v>353.94</v>
    <v>418600000</v>
    <v>ADBE</v>
    <v>ADOBE INC. (XNAS:ADBE)</v>
    <v>2016850</v>
    <v>4144466</v>
    <v>1997</v>
  </rv>
  <rv s="2">
    <v>101</v>
  </rv>
  <rv s="0">
    <v>https://www.bing.com/financeapi/forcetrigger?t=a1u3rw&amp;q=XNAS%3aGOOGL&amp;form=skydnc</v>
    <v>Learn more on Bing</v>
  </rv>
  <rv s="1">
    <v>0</v>
    <v>ALPHABET INC. (XNAS:GOOGL)</v>
    <v>2</v>
    <v>3</v>
    <v>Finance</v>
    <v>4</v>
    <v>en-US</v>
    <v>a1u3rw</v>
    <v>268435456</v>
    <v>1</v>
    <v>Powered by Refinitiv</v>
    <v>261.68</v>
    <v>140.53</v>
    <v>1.0392999999999999</v>
    <v>6.84</v>
    <v>2.7027000000000002E-2</v>
    <v>0.09</v>
    <v>3.4630000000000001E-4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261.68</v>
    <v>Software &amp; IT Services</v>
    <v>Stock</v>
    <v>45954.999980763285</v>
    <v>103</v>
    <v>255.315</v>
    <v>3048500000000</v>
    <v>ALPHABET INC.</v>
    <v>ALPHABET INC.</v>
    <v>256.58</v>
    <v>27.677900000000001</v>
    <v>253.08</v>
    <v>259.92</v>
    <v>260.01</v>
    <v>12094000000</v>
    <v>GOOGL</v>
    <v>ALPHABET INC. (XNAS:GOOGL)</v>
    <v>28655126</v>
    <v>29506694</v>
    <v>2015</v>
  </rv>
  <rv s="2">
    <v>104</v>
  </rv>
  <rv s="0">
    <v>https://www.bing.com/financeapi/forcetrigger?t=aql8bh&amp;q=XTAE%3aSFET&amp;form=skydnc</v>
    <v>Learn more on Bing</v>
  </rv>
  <rv s="9">
    <v>14</v>
    <v>ALARUM TECHNOLOGIES LTD (XTAE:ALAR)</v>
    <v>2</v>
    <v>15</v>
    <v>Finance</v>
    <v>16</v>
    <v>en-US</v>
    <v>aql8bh</v>
    <v>268435456</v>
    <v>1</v>
    <v>Powered by Refinitiv</v>
    <v>1730</v>
    <v>8</v>
    <v>0.87619999999999998</v>
    <v>-2.2000000000000002</v>
    <v>-4.7010000000000003E-3</v>
    <v>ILa</v>
    <v>Alarum Technologies Ltd, formerly known as Safe-T Group Ltd, is an Israel-based company engaged primarily in the provision of data collection software for enterprises. The Company operates two business segments: the Enterprise Internet Access and Web Data Collection segment and the Consumer Internet Access Solutions and Services segment. In the Enterprise Internet Access and Web Data Collection segment, the Company offers a Web Data Collection Service for enterprises that is based on the Company's proxy traffic optimization and routing technology, as well as partnership agreements with Internet providers. In the Consumer Internet Access Solutions and Services segment, the Company offers secured and encrypted connections for individual customers. The Company operates on a Software as a Service (SaaS) business model, offering its software on a fee basis.</v>
    <v>65</v>
    <v>Tel Aviv Stock Exchange</v>
    <v>XTAE</v>
    <v>XTAE</v>
    <v>30 Haarba'a, P.O.Box 174, HERZLIYA, 6473926 IL</v>
    <v>471.9</v>
    <v>Software &amp; IT Services</v>
    <v>Stock</v>
    <v>45956.576342592591</v>
    <v>106</v>
    <v>455.7</v>
    <v>339209800</v>
    <v>ALARUM TECHNOLOGIES LTD</v>
    <v>ALARUM TECHNOLOGIES LTD</v>
    <v>468</v>
    <v>468</v>
    <v>465.8</v>
    <v>71684240</v>
    <v>ALAR</v>
    <v>ALARUM TECHNOLOGIES LTD (XTAE:ALAR)</v>
    <v>87037</v>
    <v>229200</v>
    <v>1989</v>
  </rv>
  <rv s="2">
    <v>107</v>
  </rv>
  <rv s="0">
    <v>https://www.bing.com/financeapi/forcetrigger?t=c6rdp2&amp;q=XNAS%3aGCT&amp;form=skydnc</v>
    <v>Learn more on Bing</v>
  </rv>
  <rv s="1">
    <v>0</v>
    <v>GigaCloud Technology Inc (XNAS:GCT)</v>
    <v>2</v>
    <v>3</v>
    <v>Finance</v>
    <v>4</v>
    <v>en-US</v>
    <v>c6rdp2</v>
    <v>268435456</v>
    <v>1</v>
    <v>Powered by Refinitiv</v>
    <v>34.5</v>
    <v>11.17</v>
    <v>2.141</v>
    <v>0.55000000000000004</v>
    <v>1.9791E-2</v>
    <v>-0.20119999999999999</v>
    <v>-7.0999999999999995E-3</v>
    <v>USD</v>
    <v>GigaCloud Technology Inc specializes in global end-to-end business to business (B2B) technology solutions for large parcel merchandise. The Company’s B2B e-commerce platform, the GigaCloud Marketplace, integrates everything from discovery, payments and logistics tools into one easy-to-use platform. Its global marketplace connects manufacturers, primarily in Asia, with resellers, primarily in the United States, Asia and Europe, to execute cross-border transactions. The Company offers a comprehensive solution that transports products from the manufacturer’s warehouse to the end customer’s doorstep, all at one fixed price. The GigaCloud Marketplace offers SKUs across furniture, home appliances, fitness equipment and other large parcel categories from its active 3P sellers. Its operations include GigaCloud 3P, GigaCloud 1P and Off-platform Ecommerce. Its GigaCloud 3P operation includes platform commission, ocean transportation service, warehousing service, packaging service and others.</v>
    <v>1561</v>
    <v>Nasdaq Stock Market</v>
    <v>XNAS</v>
    <v>XNAS</v>
    <v>4388 Shirley Avenue, EL MONTE, CA, 91731 US</v>
    <v>29.835000000000001</v>
    <v>Software &amp; IT Services</v>
    <v>Stock</v>
    <v>45954.997430520314</v>
    <v>109</v>
    <v>28.26</v>
    <v>1017360000</v>
    <v>GigaCloud Technology Inc</v>
    <v>GigaCloud Technology Inc</v>
    <v>28.4</v>
    <v>8.5350000000000001</v>
    <v>27.79</v>
    <v>28.34</v>
    <v>28.1388</v>
    <v>37666060</v>
    <v>GCT</v>
    <v>GigaCloud Technology Inc (XNAS:GCT)</v>
    <v>717861</v>
    <v>749402</v>
    <v>2006</v>
  </rv>
  <rv s="2">
    <v>110</v>
  </rv>
  <rv s="0">
    <v>https://www.bing.com/financeapi/forcetrigger?t=a21d7w&amp;q=XNAS%3aPTC&amp;form=skydnc</v>
    <v>Learn more on Bing</v>
  </rv>
  <rv s="1">
    <v>0</v>
    <v>PTC INC. (XNAS:PTC)</v>
    <v>2</v>
    <v>3</v>
    <v>Finance</v>
    <v>4</v>
    <v>en-US</v>
    <v>a21d7w</v>
    <v>268435456</v>
    <v>1</v>
    <v>Powered by Refinitiv</v>
    <v>219.69</v>
    <v>133.38</v>
    <v>1.1591</v>
    <v>0.14000000000000001</v>
    <v>6.8400000000000004E-4</v>
    <v>0.97</v>
    <v>4.7360000000000006E-3</v>
    <v>USD</v>
    <v>PTC Inc. is a global software company that enables industrial and manufacturing companies to digitally transform how they engineer, manufacture, and service the physical products. Its computer-aided design (CAD) portfolio solutions enable companies to author product data. Its product lifecycle management (PLM) portfolio solutions enable companies to manage product data and orchestrate processes. Its software can be delivered on premises, in the cloud or in a hybrid model. Its PLM products and services include Windchill PLM, ThingWorx, ServiceMax, Arena, Codebeamer, Servigistics, FlexPLM and Kepware. Its CAD products and services include Creo 3D, Onshape, Vuforia and Arbortext. Its Windchill PLM application suite manages all aspects of the product development lifecycle-from concept through service and retirement-by enabling a digital thread of product parts, materials and configuration information. Its ThingWorx platform is flexible and purpose-built for industrial Internet of things.</v>
    <v>7501</v>
    <v>Nasdaq Stock Market</v>
    <v>XNAS</v>
    <v>XNAS</v>
    <v>121 Seaport Blvd., BOSTON, MA, 02210 US</v>
    <v>206.565</v>
    <v>Software &amp; IT Services</v>
    <v>Stock</v>
    <v>45954.99483876094</v>
    <v>112</v>
    <v>204.60499999999999</v>
    <v>24321510000</v>
    <v>PTC INC.</v>
    <v>PTC INC.</v>
    <v>206.15</v>
    <v>48.283499999999997</v>
    <v>204.67</v>
    <v>204.81</v>
    <v>205.78</v>
    <v>119792700</v>
    <v>PTC</v>
    <v>PTC INC. (XNAS:PTC)</v>
    <v>534074</v>
    <v>717347</v>
    <v>1985</v>
  </rv>
  <rv s="2">
    <v>113</v>
  </rv>
  <rv s="0">
    <v>https://www.bing.com/financeapi/forcetrigger?t=a1nikr&amp;q=XNYS%3aANF&amp;form=skydnc</v>
    <v>Learn more on Bing</v>
  </rv>
  <rv s="1">
    <v>0</v>
    <v>ABERCROMBIE &amp; FITCH CO. (XNYS:ANF)</v>
    <v>2</v>
    <v>3</v>
    <v>Finance</v>
    <v>4</v>
    <v>en-US</v>
    <v>a1nikr</v>
    <v>268435456</v>
    <v>1</v>
    <v>Powered by Refinitiv</v>
    <v>164.8</v>
    <v>65.400000000000006</v>
    <v>1.4662999999999999</v>
    <v>0.85</v>
    <v>1.2211000000000001E-2</v>
    <v>5.9900000000000002E-2</v>
    <v>8.5010000000000001E-4</v>
    <v>USD</v>
    <v>Abercrombie &amp; Fitch Co. is a global, digitally led omnichannel specialty retailer of apparel and accessories. The Company offers an assortment of apparel, personal care products and accessories for men, women and kids, which are sold primarily through its Company-owned stores and digital channels, as well as through various third-party arrangements. The Company’s brands include Abercrombie brands, which includes Abercrombie &amp; Fitch, abercrombie kids, and Your Personal Best (YPB), and Hollister brands, which include Hollister and Gilly Hicks. Its geographic segments include the Americas, EMEA, and APAC. The Company also offers its loyalty programs, which include Abercrombie’s myAbercrombie and Hollister’s Hollister House Rewards. The Company operates approximately 790 stores under these brands across North America, Europe, Asia and the Middle East, as well as the e-commerce sites abercrombie.com, abercrombiekids.com, and hollisterco.com.</v>
    <v>6600</v>
    <v>New York Stock Exchange</v>
    <v>XNYS</v>
    <v>XNYS</v>
    <v>6301 Fitch Path, NEW ALBANY, OH, 43054 US</v>
    <v>71.456000000000003</v>
    <v>Specialty Retailers</v>
    <v>Stock</v>
    <v>45954.998746296093</v>
    <v>115</v>
    <v>69.774799999999999</v>
    <v>3219105000</v>
    <v>ABERCROMBIE &amp; FITCH CO.</v>
    <v>ABERCROMBIE &amp; FITCH CO.</v>
    <v>70.36</v>
    <v>6.6767000000000003</v>
    <v>69.61</v>
    <v>70.459999999999994</v>
    <v>70.519900000000007</v>
    <v>47069820</v>
    <v>ANF</v>
    <v>ABERCROMBIE &amp; FITCH CO. (XNYS:ANF)</v>
    <v>1702951</v>
    <v>2000005</v>
    <v>1996</v>
  </rv>
  <rv s="2">
    <v>116</v>
  </rv>
  <rv s="0">
    <v>https://www.bing.com/financeapi/forcetrigger?t=a1pwqh&amp;q=XNAS%3aCMCSA&amp;form=skydnc</v>
    <v>Learn more on Bing</v>
  </rv>
  <rv s="1">
    <v>0</v>
    <v>COMCAST CORPORATION (XNAS:CMCSA)</v>
    <v>2</v>
    <v>3</v>
    <v>Finance</v>
    <v>4</v>
    <v>en-US</v>
    <v>a1pwqh</v>
    <v>268435456</v>
    <v>1</v>
    <v>Powered by Refinitiv</v>
    <v>45.31</v>
    <v>29.15</v>
    <v>0.9294</v>
    <v>-0.02</v>
    <v>-6.826E-4</v>
    <v>7.0000000000000007E-2</v>
    <v>2.3909999999999999E-3</v>
    <v>USD</v>
    <v>Comcast Corporation is a global media and technology company. The Company delivers broadband, wireless, and video through Xfinity, Comcast Business, and Sky; produces, distributes, and streams entertainment, sports, and news through brands, including NBC, Telemundo, Universal, Peacock, and Sky; and brings theme parks and attractions to life through Universal Destinations &amp; Experiences. It operates through two primary businesses: Connectivity &amp; Platforms and Content &amp; Experiences. Connectivity &amp; Platforms includes its broadband, wireless, video and wireline voice businesses in the United States, United Kingdom and Italy. It also includes the operations of its Sky-branded entertainment television networks in the United Kingdom and Italy. Content &amp; Experiences includes its media and entertainment businesses that produce and distribute entertainment, sports, news and other content for global audiences and that own and operate theme parks and attractions in the United States and Asia.</v>
    <v>182000</v>
    <v>Nasdaq Stock Market</v>
    <v>XNAS</v>
    <v>XNAS</v>
    <v>One Comcast Center, PHILADELPHIA, PA, 19103-2838 US</v>
    <v>29.62</v>
    <v>Telecommunications Services</v>
    <v>Stock</v>
    <v>45954.999667453128</v>
    <v>118</v>
    <v>29.25</v>
    <v>108550900000</v>
    <v>COMCAST CORPORATION</v>
    <v>COMCAST CORPORATION</v>
    <v>29.465</v>
    <v>4.8357000000000001</v>
    <v>29.3</v>
    <v>29.28</v>
    <v>29.35</v>
    <v>3692207000</v>
    <v>CMCSA</v>
    <v>COMCAST CORPORATION (XNAS:CMCSA)</v>
    <v>18001536</v>
    <v>25661499</v>
    <v>2001</v>
  </rv>
  <rv s="2">
    <v>119</v>
  </rv>
  <rv s="0">
    <v>https://www.bing.com/financeapi/forcetrigger?t=afgp6h&amp;q=XFRA%3aNKE&amp;form=skydnc</v>
    <v>Learn more on Bing</v>
  </rv>
  <rv s="10">
    <v>17</v>
    <v>NIKE, INC. (XFRA:NKE)</v>
    <v>2</v>
    <v>18</v>
    <v>Finance</v>
    <v>19</v>
    <v>en-US</v>
    <v>afgp6h</v>
    <v>268435456</v>
    <v>1</v>
    <v>Powered by Refinitiv</v>
    <v>1.3032999999999999</v>
    <v>-0.14000000000000001</v>
    <v>-2.3380000000000002E-3</v>
    <v>EUR</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77800</v>
    <v>Deutsche Boerse AG</v>
    <v>XFRA</v>
    <v>XFRA</v>
    <v>One Bowerman Dr, BEAVERTON, OR, 97005-6453 US</v>
    <v>60.54</v>
    <v>Textiles &amp; Apparel</v>
    <v>Stock</v>
    <v>45954.836805555555</v>
    <v>121</v>
    <v>59.34</v>
    <v>101049800000</v>
    <v>NIKE, INC.</v>
    <v>NIKE, INC.</v>
    <v>59.87</v>
    <v>35.85</v>
    <v>59.87</v>
    <v>59.73</v>
    <v>1478201000</v>
    <v>NKE</v>
    <v>NIKE, INC. (XFRA:NKE)</v>
    <v>6137</v>
    <v>12062610</v>
    <v>1969</v>
  </rv>
  <rv s="2">
    <v>122</v>
  </rv>
  <rv s="6">
    <v>12</v>
    <v>52 week high</v>
    <v>0</v>
  </rv>
  <rv s="6">
    <v>12</v>
    <v>52 week low</v>
    <v>0</v>
  </rv>
  <rv s="0">
    <v>https://www.bing.com/financeapi/forcetrigger?t=a1tvim&amp;q=XNAS%3aGIII&amp;form=skydnc</v>
    <v>Learn more on Bing</v>
  </rv>
  <rv s="1">
    <v>0</v>
    <v>G-III APPAREL GROUP, LTD. (XNAS:GIII)</v>
    <v>2</v>
    <v>3</v>
    <v>Finance</v>
    <v>4</v>
    <v>en-US</v>
    <v>a1tvim</v>
    <v>268435456</v>
    <v>1</v>
    <v>Powered by Refinitiv</v>
    <v>36.18</v>
    <v>20.329999999999998</v>
    <v>1.6036999999999999</v>
    <v>-0.18</v>
    <v>-6.3290000000000004E-3</v>
    <v>0</v>
    <v>0</v>
    <v>USD</v>
    <v>G-III Apparel Group, Ltd. is engaged in fashion with expertise in design, sourcing and marketing, owns and licenses a portfolio of over 30 brands. It owns 10 brands, including DKNY, Karl Lagerfeld, Donna Karan and Vilebrequin, and licenses over 20 brands including Calvin Klein, Tommy Hilfiger, Nautica, Halston, Converse, BCBG and National Sports leagues, among others. Its wholesale operations segment includes sales of products to retailers under owned, licensed and private label brands, as well as sales related to the Karl Lagerfeld and Vilebrequin businesses, including from retail stores operated by Vilebrequin and Karl Lagerfeld, other than sales of products under the Karl Lagerfeld Paris brand generated by its retail stores and digital sites. Its retail operations segment consists of direct sales to consumers through its Company-operated stores and product sales through its digital sites for the DKNY, Donna Karan, Karl Lagerfeld Paris, G.H. Bass and Wilsons Leather brands.</v>
    <v>3500</v>
    <v>Nasdaq Stock Market</v>
    <v>XNAS</v>
    <v>XNAS</v>
    <v>512 7th Avenue, NEW YORK, NY, 10018 US</v>
    <v>28.55</v>
    <v>Textiles &amp; Apparel</v>
    <v>Stock</v>
    <v>45954.840325520316</v>
    <v>126</v>
    <v>27.97</v>
    <v>1183722000</v>
    <v>G-III APPAREL GROUP, LTD.</v>
    <v>G-III APPAREL GROUP, LTD.</v>
    <v>28.35</v>
    <v>7.0605000000000002</v>
    <v>28.44</v>
    <v>28.26</v>
    <v>28.26</v>
    <v>42215470</v>
    <v>GIII</v>
    <v>G-III APPAREL GROUP, LTD. (XNAS:GIII)</v>
    <v>259627</v>
    <v>441726</v>
    <v>1989</v>
  </rv>
  <rv s="2">
    <v>127</v>
  </rv>
  <rv s="0">
    <v>https://www.bing.com/financeapi/forcetrigger?t=a1qclh&amp;q=XNAS%3aCROX&amp;form=skydnc</v>
    <v>Learn more on Bing</v>
  </rv>
  <rv s="1">
    <v>0</v>
    <v>CROCS, INC. (XNAS:CROX)</v>
    <v>2</v>
    <v>3</v>
    <v>Finance</v>
    <v>4</v>
    <v>en-US</v>
    <v>a1qclh</v>
    <v>268435456</v>
    <v>1</v>
    <v>Powered by Refinitiv</v>
    <v>139.96</v>
    <v>73.759500000000003</v>
    <v>1.5174000000000001</v>
    <v>-2.33</v>
    <v>-2.7362999999999998E-2</v>
    <v>0.18</v>
    <v>2.173E-3</v>
    <v>USD</v>
    <v>Crocs, Inc. is engaged in the design, development, worldwide marketing, distribution, and sale of casual lifestyle footwear and accessories for all. The Company's brands include Crocs and HEYDUDE. The Crocs Brand's collection contains Croslite material, a proprietary, molded footwear technology. It also uses Croslite material formulations in connection with material technologies used in its visible comfort collections, such as its LiteRide and Free Feel Technology products. The HEYDUDE Brand offers shoes with an iconic and versatile loafer silhouette with many wearing occasions that focus on casualization, comfort-led functionality and personalization. It sells its products in more than 80 countries, through wholesale and direct-to-consumer channels. Its wholesale channel includes domestic and international multi-brand retailers, e-tailers and others. Its direct-to-consumer channel includes Company-operated retail stores, Company-operated e-commerce sites and third-party marketplaces.</v>
    <v>7910</v>
    <v>Nasdaq Stock Market</v>
    <v>XNAS</v>
    <v>XNAS</v>
    <v>500 Eldorado Boulevard, Building 5, BROOMFIELD, CO, 80021 US</v>
    <v>84.31</v>
    <v>Textiles &amp; Apparel</v>
    <v>Stock</v>
    <v>45954.975829918752</v>
    <v>129</v>
    <v>82.564999999999998</v>
    <v>4558911000</v>
    <v>CROCS, INC.</v>
    <v>CROCS, INC.</v>
    <v>84</v>
    <v>22.232299999999999</v>
    <v>85.15</v>
    <v>82.82</v>
    <v>83</v>
    <v>54617360</v>
    <v>CROX</v>
    <v>CROCS, INC. (XNAS:CROX)</v>
    <v>1250031</v>
    <v>1931031</v>
    <v>2005</v>
  </rv>
  <rv s="2">
    <v>130</v>
  </rv>
  <rv s="0">
    <v>https://www.bing.com/financeapi/forcetrigger?t=a1ruc7&amp;q=XNYS%3aEL&amp;form=skydnc</v>
    <v>Learn more on Bing</v>
  </rv>
  <rv s="7">
    <v>10</v>
    <v>THE ESTEE LAUDER COMPANIES INC. (XNYS:EL)</v>
    <v>2</v>
    <v>11</v>
    <v>Finance</v>
    <v>4</v>
    <v>en-US</v>
    <v>a1ruc7</v>
    <v>268435456</v>
    <v>1</v>
    <v>Powered by Refinitiv</v>
    <v>104.53</v>
    <v>48.370100000000001</v>
    <v>1.1711</v>
    <v>2.67</v>
    <v>2.6837E-2</v>
    <v>-0.16</v>
    <v>-1.5659999999999999E-3</v>
    <v>USD</v>
    <v>The Estee Lauder Companies Inc. is a manufacturer, marketer and seller of skin care, makeup, fragrance and hair care products. Its product categories include skin care, makeup, fragrance, hair care and others. Its products are sold in approximately 150 countries and territories under a number of brand names, including Estee Lauder, Aramis, Clinique, Lab Series, Origins, M.A.C, Bobbi Brown Cosmetics, La Mer, Aveda, Jo Malone London, Bumble and bumble, Darphin Paris, TOM FORD, Smashbox, AERIN Beauty, Le Labo, Editions de Parfums Frederic Malle, GLAMGLOW, Kilian Paris, Too Faced, Dr.Jart+, and the DECIEM family of brands, including The Ordinary and NIOD. It is a licensee for fragrances, cosmetics and/or related products for AERIN, BALMAIN, and Dr. Andrew Weil. Its skin care products include moisturizers, serums, cleansers, toners, exfoliators, facial masks, body care, sun care products and others. Its makeup products include lipsticks, lip glosses, mascaras, foundations and others.</v>
    <v>57000</v>
    <v>New York Stock Exchange</v>
    <v>XNYS</v>
    <v>XNYS</v>
    <v>767 Fifth Avenue, NEW YORK, NY, 10153 US</v>
    <v>102.54</v>
    <v>Personal &amp; Household Products &amp; Services</v>
    <v>Stock</v>
    <v>45954.997044582815</v>
    <v>132</v>
    <v>100.64</v>
    <v>35542020000</v>
    <v>THE ESTEE LAUDER COMPANIES INC.</v>
    <v>THE ESTEE LAUDER COMPANIES INC.</v>
    <v>101.25</v>
    <v>99.49</v>
    <v>102.16</v>
    <v>102</v>
    <v>360357100</v>
    <v>EL</v>
    <v>THE ESTEE LAUDER COMPANIES INC. (XNYS:EL)</v>
    <v>2706205</v>
    <v>3438807</v>
    <v>1976</v>
  </rv>
  <rv s="2">
    <v>133</v>
  </rv>
  <rv s="0">
    <v>https://www.bing.com/financeapi/forcetrigger?t=aql1xm&amp;q=XTAE%3aNICE&amp;form=skydnc</v>
    <v>Learn more on Bing</v>
  </rv>
  <rv s="9">
    <v>14</v>
    <v>NICE LTD (XTAE:NICE)</v>
    <v>2</v>
    <v>15</v>
    <v>Finance</v>
    <v>16</v>
    <v>en-US</v>
    <v>aql1xm</v>
    <v>268435456</v>
    <v>1</v>
    <v>Powered by Refinitiv</v>
    <v>99480</v>
    <v>42250</v>
    <v>0.43969999999999998</v>
    <v>-400</v>
    <v>-9.1009999999999997E-3</v>
    <v>ILa</v>
    <v>NICE Ltd., formerly NICE-Systems Ltd., is a global enterprise software provider. The Company's segments include Customer Interactions Solutions, and Financial Crime and Compliance Solutions. The Customer Interactions Solutions segment provides data driven insights that enable businesses to deliver personalized experience to customers. The Financial Crime and Compliance Solutions segment provides real time and cross-channel fraud prevention, anti-money laundering, brokerage compliance and enterprise-wide case management. The Company serves contact centers, back office operations and retail branches, covering various industries, including communications, banking, insurance, healthcare, business processes outsourcing (BPO), government, utilities, travel and entertainment. Its Multi-Channel Recording and Interaction Management enables organizations to capture structured and unstructured customer interaction and transaction data from multiple channels.</v>
    <v>8726</v>
    <v>Tel Aviv Stock Exchange</v>
    <v>XTAE</v>
    <v>XTAE</v>
    <v>13 Zarhin Street, Nice 1, 2, 3, P.O. Box 690, RA'ANANA, 4310602 IL</v>
    <v>43700</v>
    <v>Software &amp; IT Services</v>
    <v>Stock</v>
    <v>45956.577905092592</v>
    <v>135</v>
    <v>43300</v>
    <v>27290620000</v>
    <v>NICE LTD</v>
    <v>NICE LTD</v>
    <v>43500</v>
    <v>43950</v>
    <v>43550</v>
    <v>61743480</v>
    <v>NICE</v>
    <v>NICE LTD (XTAE:NICE)</v>
    <v>46878</v>
    <v>137510</v>
    <v>1986</v>
  </rv>
  <rv s="2">
    <v>136</v>
  </rv>
  <rv s="0">
    <v>https://www.bing.com/financeapi/forcetrigger?t=a1ulf2&amp;q=XNAS%3aHELE&amp;form=skydnc</v>
    <v>Learn more on Bing</v>
  </rv>
  <rv s="1">
    <v>0</v>
    <v>HELEN OF TROY LIMITED (XNAS:HELE)</v>
    <v>2</v>
    <v>3</v>
    <v>Finance</v>
    <v>4</v>
    <v>en-US</v>
    <v>a1ulf2</v>
    <v>268435456</v>
    <v>1</v>
    <v>Powered by Refinitiv</v>
    <v>75.680000000000007</v>
    <v>18.899999999999999</v>
    <v>0.86660000000000004</v>
    <v>0.86</v>
    <v>4.3990000000000001E-2</v>
    <v>-0.03</v>
    <v>-1.47E-3</v>
    <v>USD</v>
    <v>Helen of Troy Limited is a global consumer products company. The Company has two operating business segments, namely Beauty &amp; Wellness and Home &amp; Outdoor. The Beauty &amp; Wellness segment includes beauty products such as hairstyling appliances, grooming tools, liquid and aerosol personal care items, and nail care products. It also includes wellness devices such as humidifiers, thermometers, water and air purifiers, heaters, and fans. The Home &amp; Outdoor segment includes consumer products for home-related activities such as food preparation and storage, cooking, cleaning, organization, and beverage service. It also includes products for outdoor and mobile use, such as hydration containers, coolers, food storage items, backpacks, and travel gear. The Company offers products through a portfolio of brands, including OXO, Hydro Flask, Osprey, Vicks, Braun, Honeywell, PUR, Hot Tools, Drybar, Curlsmith, Revlon, and Olive &amp; June.</v>
    <v>1883</v>
    <v>Nasdaq Stock Market</v>
    <v>XNAS</v>
    <v>XNAS</v>
    <v>Clarendon House, 2 Church Street, HAMILTON, HM 11 BM</v>
    <v>20.58</v>
    <v>Household Goods</v>
    <v>Stock</v>
    <v>45954.921081712499</v>
    <v>138</v>
    <v>19.399999999999999</v>
    <v>449522600</v>
    <v>HELEN OF TROY LIMITED</v>
    <v>HELEN OF TROY LIMITED</v>
    <v>19.649999999999999</v>
    <v>0</v>
    <v>19.55</v>
    <v>20.41</v>
    <v>20.38</v>
    <v>23028820</v>
    <v>HELE</v>
    <v>HELEN OF TROY LIMITED (XNAS:HELE)</v>
    <v>754129</v>
    <v>1099872</v>
    <v>1993</v>
  </rv>
  <rv s="2">
    <v>139</v>
  </rv>
  <rv s="0">
    <v>https://www.bing.com/financeapi/forcetrigger?t=a21fw7&amp;q=XNYS%3aPVH&amp;form=skydnc</v>
    <v>Learn more on Bing</v>
  </rv>
  <rv s="1">
    <v>0</v>
    <v>PVH CORP. (XNYS:PVH)</v>
    <v>2</v>
    <v>3</v>
    <v>Finance</v>
    <v>4</v>
    <v>en-US</v>
    <v>a21fw7</v>
    <v>268435456</v>
    <v>1</v>
    <v>Powered by Refinitiv</v>
    <v>113.47</v>
    <v>59.280099999999997</v>
    <v>1.9004000000000001</v>
    <v>-1.1299999999999999</v>
    <v>-1.3039E-2</v>
    <v>-0.53</v>
    <v>-6.1970000000000003E-3</v>
    <v>USD</v>
    <v>PVH Corp. is an apparel company that designs and markets branded sportswear (casual apparel), jeanswear, intimate apparel, swimwear, handbags, accessories, footwear and other related products. Its segments include Americas, Europe, the Middle East and Africa, Asia-Pacific, and Licensing. Its three main businesses include Tommy Hilfiger, which consists of the Tommy Hilfiger North America and Tommy Hilfiger International segments; Calvin Klein, which consists of the Calvin Klein North America and Calvin Klein International segments; and Heritage Brands, which consists of the Heritage Brands Wholesale segment. Its operations outside North America consist of wholesale sales under its owned and licensed trademarks, and retail stores operations, and digital commerce sites under its TOMMY HILFIGER and Calvin Klein trademarks. Its licensing activities include TOMMY HILFIGER and Calvin Klein trademark licensing for a broad array of product categories and for use in certain territories.</v>
    <v>16000</v>
    <v>New York Stock Exchange</v>
    <v>XNYS</v>
    <v>XNYS</v>
    <v>285 Madison Avenue, NEW YORK, NY, 10017 US</v>
    <v>86.91</v>
    <v>Textiles &amp; Apparel</v>
    <v>Stock</v>
    <v>45954.958606816406</v>
    <v>141</v>
    <v>85.26</v>
    <v>4070452000</v>
    <v>PVH CORP.</v>
    <v>PVH CORP.</v>
    <v>86.91</v>
    <v>9.5965000000000007</v>
    <v>86.66</v>
    <v>85.53</v>
    <v>85</v>
    <v>48119780</v>
    <v>PVH</v>
    <v>PVH CORP. (XNYS:PVH)</v>
    <v>406781</v>
    <v>842932</v>
    <v>1976</v>
  </rv>
  <rv s="2">
    <v>142</v>
  </rv>
</rvData>
</file>

<file path=xl/richData/rdrichvaluestructure.xml><?xml version="1.0" encoding="utf-8"?>
<rvStructures xmlns="http://schemas.microsoft.com/office/spreadsheetml/2017/richdata" count="1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Price</v>
      <v t="s">Exchange</v>
      <v t="s">Official name</v>
      <v t="s">_SubLabel</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20">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2</v>
      <v>1</v>
      <v>3</v>
      <v>1</v>
      <v>1</v>
      <v>1</v>
      <v>4</v>
      <v>4</v>
      <v>5</v>
      <v>6</v>
      <v>1</v>
      <v>1</v>
      <v>1</v>
      <v>4</v>
      <v>7</v>
      <v>8</v>
      <v>9</v>
      <v>4</v>
      <v>1</v>
      <v>1</v>
      <v>5</v>
    </spb>
    <spb s="10">
      <v>3</v>
      <v>Name</v>
    </spb>
    <spb s="11">
      <v>1</v>
      <v>1</v>
      <v>1</v>
    </spb>
    <spb s="0">
      <v>4</v>
      <v>Name</v>
      <v>LearnMoreOnLink</v>
    </spb>
    <spb s="12">
      <v>11</v>
      <v>2</v>
      <v>11</v>
      <v>3</v>
      <v>11</v>
      <v>11</v>
      <v>11</v>
      <v>4</v>
      <v>4</v>
      <v>5</v>
      <v>12</v>
      <v>11</v>
      <v>11</v>
      <v>11</v>
      <v>4</v>
      <v>7</v>
      <v>8</v>
      <v>9</v>
      <v>4</v>
    </spb>
    <spb s="13">
      <v>from previous close</v>
      <v>from previous close</v>
      <v>GMT</v>
    </spb>
    <spb s="0">
      <v>5</v>
      <v>Name</v>
      <v>LearnMoreOnLink</v>
    </spb>
    <spb s="14">
      <v>13</v>
      <v>2</v>
      <v>2</v>
      <v>13</v>
      <v>3</v>
      <v>13</v>
      <v>13</v>
      <v>13</v>
      <v>4</v>
      <v>4</v>
      <v>5</v>
      <v>6</v>
      <v>13</v>
      <v>4</v>
      <v>7</v>
      <v>8</v>
      <v>9</v>
      <v>4</v>
    </spb>
    <spb s="15">
      <v>Delayed 15 minutes</v>
      <v>from previous close</v>
      <v>from previous close</v>
      <v>GMT</v>
    </spb>
  </spbData>
</supportingPropertyBags>
</file>

<file path=xl/richData/rdsupportingpropertybagstructure.xml><?xml version="1.0" encoding="utf-8"?>
<spbStructures xmlns="http://schemas.microsoft.com/office/spreadsheetml/2017/richdata2" count="16">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Order" t="spba"/>
    <k n="TitleProperty" t="s"/>
  </s>
  <s>
    <k n="ExchangeID" t="spb"/>
    <k n="UniqueName" t="spb"/>
    <k n="`%ProviderInfo"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pv i="0">_(* #,##0.00_);_(* (#,##0.00);_(* "-"??_);_(@_)</rpv>
    </rSty>
    <rSty dxfid="1">
      <rpv i="0">_-* #,##0[$₪-he-IL]_-;-* #,##0[$₪-he-IL]_-;_-* "-"[$₪-he-IL]_-;_-@_-</rpv>
    </rSty>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83C2E3-9E23-2146-821F-17917E017601}" name="Table35" displayName="Table35" ref="A8:J10" totalsRowShown="0" headerRowDxfId="37" tableBorderDxfId="36">
  <autoFilter ref="A8:J10" xr:uid="{8124EE3B-E86A-BE40-8C7D-DD3CF235FD40}"/>
  <tableColumns count="10">
    <tableColumn id="1" xr3:uid="{275096F5-9605-3A45-BFDE-841218B107CB}" name="Company" dataDxfId="35"/>
    <tableColumn id="2" xr3:uid="{3C4B75E1-AA78-3E4C-91FC-132A4D19903D}" name="Ticker" dataDxfId="34">
      <calculatedColumnFormula array="1">_FV(A9,"Ticker symbol",TRUE)</calculatedColumnFormula>
    </tableColumn>
    <tableColumn id="3" xr3:uid="{9846E7B8-5CA3-F14F-B6AD-A7ACDA41FA64}" name="Ind" dataDxfId="33">
      <calculatedColumnFormula array="1">_FV(A9,"Industry")</calculatedColumnFormula>
    </tableColumn>
    <tableColumn id="4" xr3:uid="{561BE32B-03C1-4F44-ACF3-94F00F30C2AA}" name="Market Cap" dataDxfId="32">
      <calculatedColumnFormula array="1">_FV(A9,"Market cap",TRUE)</calculatedColumnFormula>
    </tableColumn>
    <tableColumn id="5" xr3:uid="{F174F0D1-6113-0542-B4C1-EFE8328331F9}" name="Price" dataDxfId="31">
      <calculatedColumnFormula array="1">_FV(A9,"Price")</calculatedColumnFormula>
    </tableColumn>
    <tableColumn id="6" xr3:uid="{6818E855-8411-D743-BC7B-820498983A46}" name="% Change" dataDxfId="30">
      <calculatedColumnFormula array="1">_FV(A9,"Change (%)",TRUE)</calculatedColumnFormula>
    </tableColumn>
    <tableColumn id="7" xr3:uid="{1447EE8D-6B43-9048-AE0B-AC82088BC186}" name="52WHigh" dataDxfId="29">
      <calculatedColumnFormula array="1">_FV(A9,"52 week high",TRUE)</calculatedColumnFormula>
    </tableColumn>
    <tableColumn id="8" xr3:uid="{6D0E877F-6DB1-4145-AA53-0B8B74F7CD29}" name="52WLow" dataDxfId="28">
      <calculatedColumnFormula array="1">_FV(A9,"52 week low",TRUE)</calculatedColumnFormula>
    </tableColumn>
    <tableColumn id="9" xr3:uid="{5F05DCF7-BA8E-9842-B462-307F4E79C45B}" name="Volume" dataDxfId="27">
      <calculatedColumnFormula array="1">_FV(A9,"Volume")</calculatedColumnFormula>
    </tableColumn>
    <tableColumn id="10" xr3:uid="{DD7710A5-F4A3-4D49-81E8-032E25ED8BB4}" name="P&amp;L %" dataDxfId="26"/>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8C43C9-8064-5A46-93E8-FEC4B890D0FE}" name="Table13" displayName="Table13" ref="A21:M63" totalsRowShown="0">
  <autoFilter ref="A21:M63" xr:uid="{6C760162-C7C0-7646-9274-25DE65B86050}"/>
  <sortState xmlns:xlrd2="http://schemas.microsoft.com/office/spreadsheetml/2017/richdata2" ref="A22:M58">
    <sortCondition ref="C21:C58"/>
  </sortState>
  <tableColumns count="13">
    <tableColumn id="1" xr3:uid="{5968C745-C4B6-FF43-A382-107F6163CCE7}" name="Company"/>
    <tableColumn id="2" xr3:uid="{9074E328-80CA-9443-BA2F-5D591391F7D7}" name="Ticker" dataDxfId="25">
      <calculatedColumnFormula array="1">_FV(A22,"Ticker symbol",TRUE)</calculatedColumnFormula>
    </tableColumn>
    <tableColumn id="3" xr3:uid="{4B120B51-AE56-BD40-B47F-9A009E1506D0}" name="Ind" dataDxfId="24">
      <calculatedColumnFormula array="1">_FV(A22,"Industry")</calculatedColumnFormula>
    </tableColumn>
    <tableColumn id="4" xr3:uid="{F7104195-4A36-2E45-8140-BB7A1FBFE1FB}" name="Market Cap" dataDxfId="23">
      <calculatedColumnFormula array="1">_FV(A22,"Market cap",TRUE)</calculatedColumnFormula>
    </tableColumn>
    <tableColumn id="5" xr3:uid="{BE31A94C-6EA4-D24A-9F56-75D6ECCA0862}" name="Price" dataDxfId="22">
      <calculatedColumnFormula array="1">_FV(A22,"Price")</calculatedColumnFormula>
    </tableColumn>
    <tableColumn id="6" xr3:uid="{4F774A05-EEDF-E548-8E56-E5960C8169C6}" name="% Change" dataDxfId="21">
      <calculatedColumnFormula array="1">_FV(A22,"Change (%)",TRUE)</calculatedColumnFormula>
    </tableColumn>
    <tableColumn id="7" xr3:uid="{41467F58-AF2C-934A-9D43-315D6199B347}" name="52WHigh" dataDxfId="20">
      <calculatedColumnFormula array="1">_FV(A22,"52 week high",TRUE)</calculatedColumnFormula>
    </tableColumn>
    <tableColumn id="8" xr3:uid="{3B7D9136-A601-1844-9E72-40B925A9E8EC}" name="52WLow" dataDxfId="19">
      <calculatedColumnFormula array="1">_FV(A22,"52 week low",TRUE)</calculatedColumnFormula>
    </tableColumn>
    <tableColumn id="9" xr3:uid="{468775D2-B906-A643-B73B-29A7B5C7ECD6}" name="Volume" dataDxfId="18">
      <calculatedColumnFormula array="1">_FV(A22,"Volume")</calculatedColumnFormula>
    </tableColumn>
    <tableColumn id="14" xr3:uid="{42E66CFC-7EE7-5D44-8153-AB1AAA880C09}" name="Headquarters" dataDxfId="17">
      <calculatedColumnFormula array="1">_FV(Table13[[#This Row],[Company]],"Headquarters")</calculatedColumnFormula>
    </tableColumn>
    <tableColumn id="16" xr3:uid="{29E085E9-E0F9-024C-9362-02C8373781B7}" name="Founding" dataDxfId="16">
      <calculatedColumnFormula array="1">_FV(Table13[[#This Row],[Company]],"Year incorporated",TRUE)</calculatedColumnFormula>
    </tableColumn>
    <tableColumn id="10" xr3:uid="{40C0AFED-FCCA-314B-AF67-7A352947533B}" name="Funds" dataDxfId="15"/>
    <tableColumn id="11" xr3:uid="{3B2A6CFA-213A-E545-9D94-A66ABB4D8B52}" name="Insiders" dataDxfId="14"/>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630CC4-C771-C042-A9DE-F81965178FCD}" name="Table352" displayName="Table352" ref="A13:I15" totalsRowShown="0" headerRowDxfId="13" tableBorderDxfId="12">
  <autoFilter ref="A13:I15" xr:uid="{1B630CC4-C771-C042-A9DE-F81965178FCD}"/>
  <tableColumns count="9">
    <tableColumn id="1" xr3:uid="{C5B029CF-5F2F-844F-88DF-4D84E4C134C0}" name="Company" dataDxfId="11"/>
    <tableColumn id="2" xr3:uid="{0A9DA708-5A06-0F44-8706-60C2151DAEC3}" name="Ticker" dataDxfId="10">
      <calculatedColumnFormula array="1">_FV(A14,"Ticker symbol",TRUE)</calculatedColumnFormula>
    </tableColumn>
    <tableColumn id="3" xr3:uid="{0545F1BA-0E40-044D-8FC6-E196F4CB772C}" name="Ind" dataDxfId="9">
      <calculatedColumnFormula array="1">_FV(A14,"Industry")</calculatedColumnFormula>
    </tableColumn>
    <tableColumn id="4" xr3:uid="{886886BF-5695-B544-B47B-1AE0824B9DFD}" name="Purchase Price" dataDxfId="8"/>
    <tableColumn id="11" xr3:uid="{173FB059-6E71-334F-9D40-81CEC7447B3E}" name="Sale Price" dataDxfId="7"/>
    <tableColumn id="12" xr3:uid="{8F5C2E6B-D4F7-7949-936F-C188AE8F70E1}" name="Date Bought" dataDxfId="6"/>
    <tableColumn id="13" xr3:uid="{F072EB12-5BF1-0943-B26F-739E94E3189C}" name="Date Sold" dataDxfId="5"/>
    <tableColumn id="14" xr3:uid="{33BEABFB-6C4E-074D-9001-3A47161FE1A4}" name="Amount Bought" dataDxfId="4"/>
    <tableColumn id="15" xr3:uid="{B0AA09E1-CDD4-5347-8BA3-27DADE38A272}" name="P&amp;L" dataDxfId="3"/>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ED57132-4266-3D48-B905-F57EF8D7F122}">
  <we:reference id="wa104379220" version="8.0.0.0" store="en-US" storeType="OMEX"/>
  <we:alternateReferences>
    <we:reference id="WA104379220" version="8.0.0.0" store="WA104379220" storeType="OMEX"/>
  </we:alternateReferences>
  <we:properties>
    <we:property name="Office.AutoShowTaskpaneWithDocument" value="true"/>
    <we:property name="lastCryptoCompare" value="0"/>
    <we:property name="lastIexCall" value="1744678049076"/>
    <we:property name="lastInfo" value="{&quot;COCO&quot;:{&quot;time&quot;:1744326501683,&quot;updateTime&quot;:1744315620000,&quot;price&quot;:&quot;30.63&quot;,&quot;name&quot;:&quot;Vita Coco Company Inc&quot;,&quot;prevClose&quot;:31.28063725490196},&quot;CMCO&quot;:{&quot;time&quot;:1744326517260,&quot;updateTime&quot;:1744321080000,&quot;price&quot;:&quot;12.68&quot;,&quot;name&quot;:&quot;Columbus McKinnon Corp&quot;,&quot;prevClose&quot;:13.859438189966115,&quot;timeZone&quot;:&quot;EDT&quot;},&quot;AAPL&quot;:{&quot;time&quot;:1744326568942,&quot;updateTime&quot;:1744315200000,&quot;price&quot;:&quot;190.58&quot;,&quot;name&quot;:&quot;Apple Inc&quot;,&quot;prevClose&quot;:198.85225375626044},&quot;SPY&quot;:{&quot;time&quot;:1744678049669,&quot;updateTime&quot;:1744661460000,&quot;price&quot;:&quot;539.12&quot;,&quot;name&quot;:&quot;SPDR S&amp;P 500 ETF Trust&quot;,&quot;prevClose&quot;:533.9407744874715},&quot;NDAQ&quot;:{&quot;time&quot;:1744678049669,&quot;updateTime&quot;:1744660980000,&quot;price&quot;:&quot;72.78&quot;,&quot;name&quot;:&quot;Nasdaq Inc&quot;,&quot;prevClose&quot;:71.52825552825553},&quot;DIA&quot;:{&quot;time&quot;:1744678049669,&quot;updateTime&quot;:1744660980000,&quot;price&quot;:&quot;405.26&quot;,&quot;name&quot;:&quot;SPDR Dow Jones Industrial Average ETF Trust&quot;,&quot;prevClose&quot;:401.92403054646434}}"/>
    <we:property name="lastMutualFundsCall" value="0"/>
    <we:property name="stocks" value="{&quot;SPY&quot;:[&quot;SPY&quot;,539.12,0.009700000000000042,1744661460000],&quot;NDAQ&quot;:[&quot;NDAQ&quot;,72.78,0.01750000000000007,1744660980000],&quot;__DJI&quot;:[&quot;__DJI&quot;,40535.82255696684,0.008299999999999974,1744660980000],&quot;DIA&quot;:[&quot;DIA&quot;,405.26,0.008299999999999974,1744660980000]}"/>
    <we:property name="stocksChange" value="{&quot;SPYchange&quot;:[&quot;SPY&quot;,0.009700000000000042,539.12],&quot;NDAQchange&quot;:[&quot;NDAQ&quot;,0.01750000000000007,72.78],&quot;__DJIchange&quot;:[&quot;__DJI&quot;,0.008299999999999974,40535.82255696684],&quot;DIAchange&quot;:[&quot;DIA&quot;,0.008299999999999974,405.26]}"/>
    <we:property name="stocksOrder" value="[&quot;SPY&quot;,&quot;NDAQ&quot;,&quot;__DJI&quot;,&quot;DIA&quot;]"/>
    <we:property name="stocksSources" value="{&quot;SPY&quot;:0,&quot;NDAQ&quot;:0,&quot;__DJI&quot;:0,&quot;DIA&quot;:0}"/>
    <we:property name="updateIntervalIndex" value="2"/>
  </we:properties>
  <we:bindings>
    <we:binding id="SPY" type="text" appref="{5F651232-4ED0-7241-B537-6F8F5BE754F0}"/>
    <we:binding id="SPYchange" type="text" appref="{C0550556-AB09-0142-85B1-674F35B4514F}"/>
    <we:binding id="NDAQ" type="text" appref="{F39B801E-A2DA-1F45-A525-9EAF5ED600EE}"/>
    <we:binding id="NDAQchange" type="text" appref="{CEEFB261-C9BF-944A-9CC1-9C7ECF741CD5}"/>
    <we:binding id="__DJI" type="text" appref="{BA1C8645-AE1E-D848-BBBA-428B60499A69}"/>
    <we:binding id="__DJIchange" type="text" appref="{BCDDC7ED-B058-2A40-8B7B-32E2DDC42158}"/>
    <we:binding id="DIA" type="text" appref="{71E5784A-B1E7-FE4E-A4CD-289EB353DC65}"/>
    <we:binding id="DIAchange" type="text" appref="{AF2EC124-CC00-3048-8B29-AFC3FD891D7B}"/>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hyperlink" Target="file:///analysts/john-vinh" TargetMode="External"/><Relationship Id="rId3" Type="http://schemas.openxmlformats.org/officeDocument/2006/relationships/hyperlink" Target="file:///stocks/nvda/revenue" TargetMode="External"/><Relationship Id="rId7" Type="http://schemas.openxmlformats.org/officeDocument/2006/relationships/hyperlink" Target="file:///analysts/c.j.-muse" TargetMode="External"/><Relationship Id="rId2" Type="http://schemas.openxmlformats.org/officeDocument/2006/relationships/hyperlink" Target="file:///stocks/nvda/employees" TargetMode="External"/><Relationship Id="rId1" Type="http://schemas.openxmlformats.org/officeDocument/2006/relationships/hyperlink" Target="file:///stocks/nvda/market-cap" TargetMode="External"/><Relationship Id="rId6" Type="http://schemas.openxmlformats.org/officeDocument/2006/relationships/hyperlink" Target="file:///analysts/c.j.-muse" TargetMode="External"/><Relationship Id="rId5" Type="http://schemas.openxmlformats.org/officeDocument/2006/relationships/hyperlink" Target="file:///analysts/vijay-rakesh" TargetMode="External"/><Relationship Id="rId10" Type="http://schemas.openxmlformats.org/officeDocument/2006/relationships/queryTable" Target="../queryTables/queryTable2.xml"/><Relationship Id="rId4" Type="http://schemas.openxmlformats.org/officeDocument/2006/relationships/hyperlink" Target="file:///analysts/frank-lee" TargetMode="External"/><Relationship Id="rId9"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26" Type="http://schemas.openxmlformats.org/officeDocument/2006/relationships/hyperlink" Target="https://www.sec.gov/Archives/edgar/data/1045810/000101287000001346/0001012870-00-001346-index.html" TargetMode="External"/><Relationship Id="rId21" Type="http://schemas.openxmlformats.org/officeDocument/2006/relationships/hyperlink" Target="https://www.sec.gov/Archives/edgar/data/1045810/000104581005000008/0001045810-05-000008-index.htm" TargetMode="External"/><Relationship Id="rId42" Type="http://schemas.openxmlformats.org/officeDocument/2006/relationships/hyperlink" Target="https://www.sec.gov/Archives/edgar/data/1045810/000104581011000015/0001045810-11-000015-index.htm" TargetMode="External"/><Relationship Id="rId47" Type="http://schemas.openxmlformats.org/officeDocument/2006/relationships/hyperlink" Target="https://www.sec.gov/Archives/edgar/data/1045810/000104581005000008/0001045810-05-000008-index.htm" TargetMode="External"/><Relationship Id="rId63" Type="http://schemas.openxmlformats.org/officeDocument/2006/relationships/hyperlink" Target="https://www.sec.gov/Archives/edgar/data/1045810/000104581017000027/0001045810-17-000027-index.htm" TargetMode="External"/><Relationship Id="rId68" Type="http://schemas.openxmlformats.org/officeDocument/2006/relationships/hyperlink" Target="https://www.sec.gov/Archives/edgar/data/1045810/000104581012000013/0001045810-12-000013-index.htm" TargetMode="External"/><Relationship Id="rId84" Type="http://schemas.openxmlformats.org/officeDocument/2006/relationships/queryTable" Target="../queryTables/queryTable6.xml"/><Relationship Id="rId16" Type="http://schemas.openxmlformats.org/officeDocument/2006/relationships/hyperlink" Target="https://www.sec.gov/Archives/edgar/data/1045810/000104581011000015/0001045810-11-000015-index.htm" TargetMode="External"/><Relationship Id="rId11" Type="http://schemas.openxmlformats.org/officeDocument/2006/relationships/hyperlink" Target="https://www.sec.gov/Archives/edgar/data/1045810/000104581016000205/0001045810-16-000205-index.htm" TargetMode="External"/><Relationship Id="rId32" Type="http://schemas.openxmlformats.org/officeDocument/2006/relationships/hyperlink" Target="https://www.sec.gov/Archives/edgar/data/1045810/000104581021000010/0001045810-21-000010-index.htm" TargetMode="External"/><Relationship Id="rId37" Type="http://schemas.openxmlformats.org/officeDocument/2006/relationships/hyperlink" Target="https://www.sec.gov/Archives/edgar/data/1045810/000104581016000205/0001045810-16-000205-index.htm" TargetMode="External"/><Relationship Id="rId53" Type="http://schemas.openxmlformats.org/officeDocument/2006/relationships/hyperlink" Target="https://www.sec.gov/Archives/edgar/data/1045810/000092962499000772/0000929624-99-000772-index.html" TargetMode="External"/><Relationship Id="rId58" Type="http://schemas.openxmlformats.org/officeDocument/2006/relationships/hyperlink" Target="https://www.sec.gov/Archives/edgar/data/1045810/000104581022000036/0001045810-22-000036-index.htm" TargetMode="External"/><Relationship Id="rId74" Type="http://schemas.openxmlformats.org/officeDocument/2006/relationships/hyperlink" Target="https://www.sec.gov/Archives/edgar/data/1045810/000104581005000008/0001045810-05-000008-index.htm" TargetMode="External"/><Relationship Id="rId79" Type="http://schemas.openxmlformats.org/officeDocument/2006/relationships/hyperlink" Target="https://www.sec.gov/Archives/edgar/data/1045810/000101287000001346/0001012870-00-001346-index.html" TargetMode="External"/><Relationship Id="rId5" Type="http://schemas.openxmlformats.org/officeDocument/2006/relationships/hyperlink" Target="https://www.sec.gov/Archives/edgar/data/1045810/000104581022000036/0001045810-22-000036-index.htm" TargetMode="External"/><Relationship Id="rId61" Type="http://schemas.openxmlformats.org/officeDocument/2006/relationships/hyperlink" Target="https://www.sec.gov/Archives/edgar/data/1045810/000104581019000023/0001045810-19-000023-index.htm" TargetMode="External"/><Relationship Id="rId82" Type="http://schemas.openxmlformats.org/officeDocument/2006/relationships/queryTable" Target="../queryTables/queryTable4.xml"/><Relationship Id="rId19" Type="http://schemas.openxmlformats.org/officeDocument/2006/relationships/hyperlink" Target="https://www.sec.gov/Archives/edgar/data/1045810/000104581007000008/0001045810-07-000008-index.htm" TargetMode="External"/><Relationship Id="rId14" Type="http://schemas.openxmlformats.org/officeDocument/2006/relationships/hyperlink" Target="https://www.sec.gov/Archives/edgar/data/1045810/000104581013000008/0001045810-13-000008-index.htm" TargetMode="External"/><Relationship Id="rId22" Type="http://schemas.openxmlformats.org/officeDocument/2006/relationships/hyperlink" Target="https://www.sec.gov/Archives/edgar/data/1045810/000104581004000007/0001045810-04-000007-index.htm" TargetMode="External"/><Relationship Id="rId27" Type="http://schemas.openxmlformats.org/officeDocument/2006/relationships/hyperlink" Target="https://www.sec.gov/Archives/edgar/data/1045810/000092962499000772/0000929624-99-000772-index.html" TargetMode="External"/><Relationship Id="rId30" Type="http://schemas.openxmlformats.org/officeDocument/2006/relationships/hyperlink" Target="https://www.sec.gov/Archives/edgar/data/1045810/000104581023000017/0001045810-23-000017-index.htm" TargetMode="External"/><Relationship Id="rId35" Type="http://schemas.openxmlformats.org/officeDocument/2006/relationships/hyperlink" Target="https://www.sec.gov/Archives/edgar/data/1045810/000104581018000010/0001045810-18-000010-index.htm" TargetMode="External"/><Relationship Id="rId43" Type="http://schemas.openxmlformats.org/officeDocument/2006/relationships/hyperlink" Target="https://www.sec.gov/Archives/edgar/data/1045810/000104581010000006/0001045810-10-000006-index.htm" TargetMode="External"/><Relationship Id="rId48" Type="http://schemas.openxmlformats.org/officeDocument/2006/relationships/hyperlink" Target="https://www.sec.gov/Archives/edgar/data/1045810/000104581004000007/0001045810-04-000007-index.htm" TargetMode="External"/><Relationship Id="rId56" Type="http://schemas.openxmlformats.org/officeDocument/2006/relationships/hyperlink" Target="https://www.sec.gov/Archives/edgar/data/1045810/000104581024000029/0001045810-24-000029-index.htm" TargetMode="External"/><Relationship Id="rId64" Type="http://schemas.openxmlformats.org/officeDocument/2006/relationships/hyperlink" Target="https://www.sec.gov/Archives/edgar/data/1045810/000104581016000205/0001045810-16-000205-index.htm" TargetMode="External"/><Relationship Id="rId69" Type="http://schemas.openxmlformats.org/officeDocument/2006/relationships/hyperlink" Target="https://www.sec.gov/Archives/edgar/data/1045810/000104581011000015/0001045810-11-000015-index.htm" TargetMode="External"/><Relationship Id="rId77" Type="http://schemas.openxmlformats.org/officeDocument/2006/relationships/hyperlink" Target="https://www.sec.gov/Archives/edgar/data/1045810/000101287002002262/0001012870-02-002262-index.htm" TargetMode="External"/><Relationship Id="rId8" Type="http://schemas.openxmlformats.org/officeDocument/2006/relationships/hyperlink" Target="https://www.sec.gov/Archives/edgar/data/1045810/000104581019000023/0001045810-19-000023-index.htm" TargetMode="External"/><Relationship Id="rId51" Type="http://schemas.openxmlformats.org/officeDocument/2006/relationships/hyperlink" Target="https://www.sec.gov/Archives/edgar/data/1045810/000101287001501023/0001012870-01-501023-index.htm" TargetMode="External"/><Relationship Id="rId72" Type="http://schemas.openxmlformats.org/officeDocument/2006/relationships/hyperlink" Target="https://www.sec.gov/Archives/edgar/data/1045810/000104581007000008/0001045810-07-000008-index.htm" TargetMode="External"/><Relationship Id="rId80" Type="http://schemas.openxmlformats.org/officeDocument/2006/relationships/hyperlink" Target="https://www.sec.gov/Archives/edgar/data/1045810/000092962499000772/0000929624-99-000772-index.html" TargetMode="External"/><Relationship Id="rId3" Type="http://schemas.openxmlformats.org/officeDocument/2006/relationships/hyperlink" Target="https://www.sec.gov/Archives/edgar/data/1045810/000104581024000029/0001045810-24-000029-index.htm" TargetMode="External"/><Relationship Id="rId12" Type="http://schemas.openxmlformats.org/officeDocument/2006/relationships/hyperlink" Target="https://www.sec.gov/Archives/edgar/data/1045810/000104581015000036/0001045810-15-000036-index.htm" TargetMode="External"/><Relationship Id="rId17" Type="http://schemas.openxmlformats.org/officeDocument/2006/relationships/hyperlink" Target="https://www.sec.gov/Archives/edgar/data/1045810/000104581010000006/0001045810-10-000006-index.htm" TargetMode="External"/><Relationship Id="rId25" Type="http://schemas.openxmlformats.org/officeDocument/2006/relationships/hyperlink" Target="https://www.sec.gov/Archives/edgar/data/1045810/000101287001501023/0001012870-01-501023-index.htm" TargetMode="External"/><Relationship Id="rId33" Type="http://schemas.openxmlformats.org/officeDocument/2006/relationships/hyperlink" Target="https://www.sec.gov/Archives/edgar/data/1045810/000104581020000010/0001045810-20-000010-index.htm" TargetMode="External"/><Relationship Id="rId38" Type="http://schemas.openxmlformats.org/officeDocument/2006/relationships/hyperlink" Target="https://www.sec.gov/Archives/edgar/data/1045810/000104581015000036/0001045810-15-000036-index.htm" TargetMode="External"/><Relationship Id="rId46" Type="http://schemas.openxmlformats.org/officeDocument/2006/relationships/hyperlink" Target="https://www.sec.gov/Archives/edgar/data/1045810/000119312506243224/0001193125-06-243224-index.htm" TargetMode="External"/><Relationship Id="rId59" Type="http://schemas.openxmlformats.org/officeDocument/2006/relationships/hyperlink" Target="https://www.sec.gov/Archives/edgar/data/1045810/000104581021000010/0001045810-21-000010-index.htm" TargetMode="External"/><Relationship Id="rId67" Type="http://schemas.openxmlformats.org/officeDocument/2006/relationships/hyperlink" Target="https://www.sec.gov/Archives/edgar/data/1045810/000104581013000008/0001045810-13-000008-index.htm" TargetMode="External"/><Relationship Id="rId20" Type="http://schemas.openxmlformats.org/officeDocument/2006/relationships/hyperlink" Target="https://www.sec.gov/Archives/edgar/data/1045810/000119312506243224/0001193125-06-243224-index.htm" TargetMode="External"/><Relationship Id="rId41" Type="http://schemas.openxmlformats.org/officeDocument/2006/relationships/hyperlink" Target="https://www.sec.gov/Archives/edgar/data/1045810/000104581012000013/0001045810-12-000013-index.htm" TargetMode="External"/><Relationship Id="rId54" Type="http://schemas.openxmlformats.org/officeDocument/2006/relationships/hyperlink" Target="https://www.sec.gov/Archives/edgar/data/1045810/000104581025000209/0001045810-25-000209-index.htm" TargetMode="External"/><Relationship Id="rId62" Type="http://schemas.openxmlformats.org/officeDocument/2006/relationships/hyperlink" Target="https://www.sec.gov/Archives/edgar/data/1045810/000104581018000010/0001045810-18-000010-index.htm" TargetMode="External"/><Relationship Id="rId70" Type="http://schemas.openxmlformats.org/officeDocument/2006/relationships/hyperlink" Target="https://www.sec.gov/Archives/edgar/data/1045810/000104581010000006/0001045810-10-000006-index.htm" TargetMode="External"/><Relationship Id="rId75" Type="http://schemas.openxmlformats.org/officeDocument/2006/relationships/hyperlink" Target="https://www.sec.gov/Archives/edgar/data/1045810/000104581004000007/0001045810-04-000007-index.htm" TargetMode="External"/><Relationship Id="rId83" Type="http://schemas.openxmlformats.org/officeDocument/2006/relationships/queryTable" Target="../queryTables/queryTable5.xml"/><Relationship Id="rId1" Type="http://schemas.openxmlformats.org/officeDocument/2006/relationships/hyperlink" Target="https://www.sec.gov/Archives/edgar/data/1045810/000104581025000209/0001045810-25-000209-index.htm" TargetMode="External"/><Relationship Id="rId6" Type="http://schemas.openxmlformats.org/officeDocument/2006/relationships/hyperlink" Target="https://www.sec.gov/Archives/edgar/data/1045810/000104581021000010/0001045810-21-000010-index.htm" TargetMode="External"/><Relationship Id="rId15" Type="http://schemas.openxmlformats.org/officeDocument/2006/relationships/hyperlink" Target="https://www.sec.gov/Archives/edgar/data/1045810/000104581012000013/0001045810-12-000013-index.htm" TargetMode="External"/><Relationship Id="rId23" Type="http://schemas.openxmlformats.org/officeDocument/2006/relationships/hyperlink" Target="https://www.sec.gov/Archives/edgar/data/1045810/000104596903001196/0001045969-03-001196-index.htm" TargetMode="External"/><Relationship Id="rId28" Type="http://schemas.openxmlformats.org/officeDocument/2006/relationships/hyperlink" Target="https://www.sec.gov/Archives/edgar/data/1045810/000104581025000023/0001045810-25-000023-index.htm" TargetMode="External"/><Relationship Id="rId36" Type="http://schemas.openxmlformats.org/officeDocument/2006/relationships/hyperlink" Target="https://www.sec.gov/Archives/edgar/data/1045810/000104581017000027/0001045810-17-000027-index.htm" TargetMode="External"/><Relationship Id="rId49" Type="http://schemas.openxmlformats.org/officeDocument/2006/relationships/hyperlink" Target="https://www.sec.gov/Archives/edgar/data/1045810/000104596903001196/0001045969-03-001196-index.htm" TargetMode="External"/><Relationship Id="rId57" Type="http://schemas.openxmlformats.org/officeDocument/2006/relationships/hyperlink" Target="https://www.sec.gov/Archives/edgar/data/1045810/000104581023000017/0001045810-23-000017-index.htm" TargetMode="External"/><Relationship Id="rId10" Type="http://schemas.openxmlformats.org/officeDocument/2006/relationships/hyperlink" Target="https://www.sec.gov/Archives/edgar/data/1045810/000104581017000027/0001045810-17-000027-index.htm" TargetMode="External"/><Relationship Id="rId31" Type="http://schemas.openxmlformats.org/officeDocument/2006/relationships/hyperlink" Target="https://www.sec.gov/Archives/edgar/data/1045810/000104581022000036/0001045810-22-000036-index.htm" TargetMode="External"/><Relationship Id="rId44" Type="http://schemas.openxmlformats.org/officeDocument/2006/relationships/hyperlink" Target="https://www.sec.gov/Archives/edgar/data/1045810/000104581009000013/0001045810-09-000013-index.htm" TargetMode="External"/><Relationship Id="rId52" Type="http://schemas.openxmlformats.org/officeDocument/2006/relationships/hyperlink" Target="https://www.sec.gov/Archives/edgar/data/1045810/000101287000001346/0001012870-00-001346-index.html" TargetMode="External"/><Relationship Id="rId60" Type="http://schemas.openxmlformats.org/officeDocument/2006/relationships/hyperlink" Target="https://www.sec.gov/Archives/edgar/data/1045810/000104581020000010/0001045810-20-000010-index.htm" TargetMode="External"/><Relationship Id="rId65" Type="http://schemas.openxmlformats.org/officeDocument/2006/relationships/hyperlink" Target="https://www.sec.gov/Archives/edgar/data/1045810/000104581015000036/0001045810-15-000036-index.htm" TargetMode="External"/><Relationship Id="rId73" Type="http://schemas.openxmlformats.org/officeDocument/2006/relationships/hyperlink" Target="https://www.sec.gov/Archives/edgar/data/1045810/000119312506243224/0001193125-06-243224-index.htm" TargetMode="External"/><Relationship Id="rId78" Type="http://schemas.openxmlformats.org/officeDocument/2006/relationships/hyperlink" Target="https://www.sec.gov/Archives/edgar/data/1045810/000101287001501023/0001012870-01-501023-index.htm" TargetMode="External"/><Relationship Id="rId81" Type="http://schemas.openxmlformats.org/officeDocument/2006/relationships/queryTable" Target="../queryTables/queryTable3.xml"/><Relationship Id="rId4" Type="http://schemas.openxmlformats.org/officeDocument/2006/relationships/hyperlink" Target="https://www.sec.gov/Archives/edgar/data/1045810/000104581023000017/0001045810-23-000017-index.htm" TargetMode="External"/><Relationship Id="rId9" Type="http://schemas.openxmlformats.org/officeDocument/2006/relationships/hyperlink" Target="https://www.sec.gov/Archives/edgar/data/1045810/000104581018000010/0001045810-18-000010-index.htm" TargetMode="External"/><Relationship Id="rId13" Type="http://schemas.openxmlformats.org/officeDocument/2006/relationships/hyperlink" Target="https://www.sec.gov/Archives/edgar/data/1045810/000104581014000030/0001045810-14-000030-index.htm" TargetMode="External"/><Relationship Id="rId18" Type="http://schemas.openxmlformats.org/officeDocument/2006/relationships/hyperlink" Target="https://www.sec.gov/Archives/edgar/data/1045810/000104581009000013/0001045810-09-000013-index.htm" TargetMode="External"/><Relationship Id="rId39" Type="http://schemas.openxmlformats.org/officeDocument/2006/relationships/hyperlink" Target="https://www.sec.gov/Archives/edgar/data/1045810/000104581014000030/0001045810-14-000030-index.htm" TargetMode="External"/><Relationship Id="rId34" Type="http://schemas.openxmlformats.org/officeDocument/2006/relationships/hyperlink" Target="https://www.sec.gov/Archives/edgar/data/1045810/000104581019000023/0001045810-19-000023-index.htm" TargetMode="External"/><Relationship Id="rId50" Type="http://schemas.openxmlformats.org/officeDocument/2006/relationships/hyperlink" Target="https://www.sec.gov/Archives/edgar/data/1045810/000101287002002262/0001012870-02-002262-index.htm" TargetMode="External"/><Relationship Id="rId55" Type="http://schemas.openxmlformats.org/officeDocument/2006/relationships/hyperlink" Target="https://www.sec.gov/Archives/edgar/data/1045810/000104581025000023/0001045810-25-000023-index.htm" TargetMode="External"/><Relationship Id="rId76" Type="http://schemas.openxmlformats.org/officeDocument/2006/relationships/hyperlink" Target="https://www.sec.gov/Archives/edgar/data/1045810/000104596903001196/0001045969-03-001196-index.htm" TargetMode="External"/><Relationship Id="rId7" Type="http://schemas.openxmlformats.org/officeDocument/2006/relationships/hyperlink" Target="https://www.sec.gov/Archives/edgar/data/1045810/000104581020000010/0001045810-20-000010-index.htm" TargetMode="External"/><Relationship Id="rId71" Type="http://schemas.openxmlformats.org/officeDocument/2006/relationships/hyperlink" Target="https://www.sec.gov/Archives/edgar/data/1045810/000104581009000013/0001045810-09-000013-index.htm" TargetMode="External"/><Relationship Id="rId2" Type="http://schemas.openxmlformats.org/officeDocument/2006/relationships/hyperlink" Target="https://www.sec.gov/Archives/edgar/data/1045810/000104581025000023/0001045810-25-000023-index.htm" TargetMode="External"/><Relationship Id="rId29" Type="http://schemas.openxmlformats.org/officeDocument/2006/relationships/hyperlink" Target="https://www.sec.gov/Archives/edgar/data/1045810/000104581024000029/0001045810-24-000029-index.htm" TargetMode="External"/><Relationship Id="rId24" Type="http://schemas.openxmlformats.org/officeDocument/2006/relationships/hyperlink" Target="https://www.sec.gov/Archives/edgar/data/1045810/000101287002002262/0001012870-02-002262-index.htm" TargetMode="External"/><Relationship Id="rId40" Type="http://schemas.openxmlformats.org/officeDocument/2006/relationships/hyperlink" Target="https://www.sec.gov/Archives/edgar/data/1045810/000104581013000008/0001045810-13-000008-index.htm" TargetMode="External"/><Relationship Id="rId45" Type="http://schemas.openxmlformats.org/officeDocument/2006/relationships/hyperlink" Target="https://www.sec.gov/Archives/edgar/data/1045810/000104581007000008/0001045810-07-000008-index.htm" TargetMode="External"/><Relationship Id="rId66" Type="http://schemas.openxmlformats.org/officeDocument/2006/relationships/hyperlink" Target="https://www.sec.gov/Archives/edgar/data/1045810/000104581014000030/0001045810-14-000030-index.htm" TargetMode="Externa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hyperlink" Target="file:///stocks/alb/market-cap" TargetMode="External"/><Relationship Id="rId1" Type="http://schemas.openxmlformats.org/officeDocument/2006/relationships/hyperlink" Target="file:///stocks/alb/revenue" TargetMode="External"/><Relationship Id="rId6" Type="http://schemas.openxmlformats.org/officeDocument/2006/relationships/queryTable" Target="../queryTables/queryTable10.xm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hyperlink" Target="file:///stocks/nvda/market-cap" TargetMode="External"/><Relationship Id="rId1" Type="http://schemas.openxmlformats.org/officeDocument/2006/relationships/hyperlink" Target="file:///stocks/nvda/revenue" TargetMode="External"/><Relationship Id="rId6" Type="http://schemas.openxmlformats.org/officeDocument/2006/relationships/queryTable" Target="../queryTables/queryTable14.xml"/><Relationship Id="rId5" Type="http://schemas.openxmlformats.org/officeDocument/2006/relationships/queryTable" Target="../queryTables/queryTable13.xml"/><Relationship Id="rId4" Type="http://schemas.openxmlformats.org/officeDocument/2006/relationships/queryTable" Target="../queryTables/query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0902-CE93-3048-853A-1F600508FFC9}">
  <sheetPr codeName="Sheet10">
    <tabColor theme="6" tint="0.39997558519241921"/>
  </sheetPr>
  <dimension ref="A1:M63"/>
  <sheetViews>
    <sheetView topLeftCell="A2" workbookViewId="0">
      <selection activeCell="A17" sqref="A17"/>
    </sheetView>
  </sheetViews>
  <sheetFormatPr baseColWidth="10" defaultRowHeight="16" x14ac:dyDescent="0.2"/>
  <cols>
    <col min="1" max="1" width="45.1640625" customWidth="1"/>
    <col min="3" max="3" width="16" customWidth="1"/>
    <col min="4" max="4" width="24.1640625" customWidth="1"/>
    <col min="5" max="5" width="9.83203125" customWidth="1"/>
    <col min="6" max="6" width="12.83203125" customWidth="1"/>
    <col min="7" max="7" width="11.6640625" customWidth="1"/>
    <col min="8" max="8" width="11" customWidth="1"/>
    <col min="9" max="9" width="13.1640625" customWidth="1"/>
    <col min="10" max="10" width="17.5" customWidth="1"/>
    <col min="11" max="11" width="11" customWidth="1"/>
  </cols>
  <sheetData>
    <row r="1" spans="1:10" x14ac:dyDescent="0.2">
      <c r="A1" t="s">
        <v>501</v>
      </c>
    </row>
    <row r="2" spans="1:10" x14ac:dyDescent="0.2">
      <c r="A2" t="s">
        <v>505</v>
      </c>
    </row>
    <row r="3" spans="1:10" x14ac:dyDescent="0.2">
      <c r="A3" t="s">
        <v>502</v>
      </c>
    </row>
    <row r="4" spans="1:10" x14ac:dyDescent="0.2">
      <c r="A4" t="s">
        <v>503</v>
      </c>
    </row>
    <row r="5" spans="1:10" x14ac:dyDescent="0.2">
      <c r="A5" t="s">
        <v>504</v>
      </c>
    </row>
    <row r="6" spans="1:10" x14ac:dyDescent="0.2">
      <c r="A6" t="s">
        <v>507</v>
      </c>
    </row>
    <row r="7" spans="1:10" x14ac:dyDescent="0.2">
      <c r="A7" t="s">
        <v>214</v>
      </c>
    </row>
    <row r="8" spans="1:10" x14ac:dyDescent="0.2">
      <c r="A8" s="33" t="s">
        <v>211</v>
      </c>
      <c r="B8" s="33" t="s">
        <v>205</v>
      </c>
      <c r="C8" s="33" t="s">
        <v>206</v>
      </c>
      <c r="D8" s="33" t="s">
        <v>45</v>
      </c>
      <c r="E8" s="33" t="s">
        <v>78</v>
      </c>
      <c r="F8" s="33" t="s">
        <v>207</v>
      </c>
      <c r="G8" s="33" t="s">
        <v>209</v>
      </c>
      <c r="H8" s="33" t="s">
        <v>208</v>
      </c>
      <c r="I8" s="33" t="s">
        <v>210</v>
      </c>
      <c r="J8" s="33" t="s">
        <v>493</v>
      </c>
    </row>
    <row r="9" spans="1:10" x14ac:dyDescent="0.2">
      <c r="A9" s="34" t="e" vm="1">
        <v>#VALUE!</v>
      </c>
      <c r="B9" s="27" t="str" cm="1">
        <f t="array" aca="1" ref="B9" ca="1">_FV(A9,"Ticker symbol",TRUE)</f>
        <v>STZ</v>
      </c>
      <c r="C9" s="27" t="str" cm="1">
        <f t="array" aca="1" ref="C9" ca="1">_FV(A9,"Industry")</f>
        <v>Beverages</v>
      </c>
      <c r="D9" s="27" cm="1">
        <f t="array" aca="1" ref="D9" ca="1">_FV(A9,"Market cap",TRUE)</f>
        <v>24540680000</v>
      </c>
      <c r="E9" s="27" cm="1">
        <f t="array" aca="1" ref="E9" ca="1">_FV(A9,"Price")</f>
        <v>139.62</v>
      </c>
      <c r="F9" s="13" cm="1">
        <f t="array" aca="1" ref="F9" ca="1">_FV(A9,"Change (%)",TRUE)</f>
        <v>-7.157E-4</v>
      </c>
      <c r="G9" s="27" cm="1">
        <f t="array" aca="1" ref="G9" ca="1">_FV(A9,"52 week high",TRUE)</f>
        <v>245.3099</v>
      </c>
      <c r="H9" s="27" cm="1">
        <f t="array" aca="1" ref="H9" ca="1">_FV(A9,"52 week low",TRUE)</f>
        <v>131.19999999999999</v>
      </c>
      <c r="I9" s="28" cm="1">
        <f t="array" aca="1" ref="I9" ca="1">_FV(A9,"Volume")</f>
        <v>1217486</v>
      </c>
      <c r="J9" s="13">
        <v>0.75</v>
      </c>
    </row>
    <row r="10" spans="1:10" x14ac:dyDescent="0.2">
      <c r="A10" s="34" t="e" vm="2">
        <v>#VALUE!</v>
      </c>
      <c r="B10" s="27" t="str" cm="1">
        <f t="array" aca="1" ref="B10" ca="1">_FV(A10,"Ticker symbol",TRUE)</f>
        <v>MSFT</v>
      </c>
      <c r="C10" s="27" t="str" cm="1">
        <f t="array" aca="1" ref="C10" ca="1">_FV(A10,"Industry")</f>
        <v>Software &amp; IT Services</v>
      </c>
      <c r="D10" s="27" cm="1">
        <f t="array" aca="1" ref="D10" ca="1">_FV(A10,"Market cap",TRUE)</f>
        <v>3869220000000</v>
      </c>
      <c r="E10" s="27" cm="1">
        <f t="array" aca="1" ref="E10" ca="1">_FV(A10,"Price")</f>
        <v>523.61</v>
      </c>
      <c r="F10" s="13" cm="1">
        <f t="array" aca="1" ref="F10" ca="1">_FV(A10,"Change (%)",TRUE)</f>
        <v>5.8589999999999996E-3</v>
      </c>
      <c r="G10" s="27" cm="1">
        <f t="array" aca="1" ref="G10" ca="1">_FV(A10,"52 week high",TRUE)</f>
        <v>555.45000000000005</v>
      </c>
      <c r="H10" s="27" cm="1">
        <f t="array" aca="1" ref="H10" ca="1">_FV(A10,"52 week low",TRUE)</f>
        <v>344.79</v>
      </c>
      <c r="I10" s="28" cm="1">
        <f t="array" aca="1" ref="I10" ca="1">_FV(A10,"Volume")</f>
        <v>15532360</v>
      </c>
      <c r="J10" s="13">
        <v>-0.15</v>
      </c>
    </row>
    <row r="11" spans="1:10" x14ac:dyDescent="0.2">
      <c r="B11" s="27"/>
      <c r="C11" s="27"/>
      <c r="D11" s="27"/>
      <c r="E11" s="27"/>
      <c r="F11" s="13"/>
      <c r="G11" s="27"/>
      <c r="H11" s="27"/>
      <c r="I11" s="28"/>
      <c r="J11" s="13"/>
    </row>
    <row r="12" spans="1:10" x14ac:dyDescent="0.2">
      <c r="A12" t="s">
        <v>494</v>
      </c>
      <c r="B12" s="27"/>
      <c r="C12" s="27"/>
      <c r="D12" s="27"/>
      <c r="E12" s="27"/>
      <c r="F12" s="13"/>
      <c r="G12" s="27"/>
      <c r="H12" s="27"/>
      <c r="I12" s="28"/>
      <c r="J12" s="13"/>
    </row>
    <row r="13" spans="1:10" x14ac:dyDescent="0.2">
      <c r="A13" s="33" t="s">
        <v>211</v>
      </c>
      <c r="B13" s="33" t="s">
        <v>205</v>
      </c>
      <c r="C13" s="33" t="s">
        <v>206</v>
      </c>
      <c r="D13" s="33" t="s">
        <v>498</v>
      </c>
      <c r="E13" s="33" t="s">
        <v>499</v>
      </c>
      <c r="F13" s="33" t="s">
        <v>496</v>
      </c>
      <c r="G13" s="33" t="s">
        <v>497</v>
      </c>
      <c r="H13" s="33" t="s">
        <v>500</v>
      </c>
      <c r="I13" s="33" t="s">
        <v>492</v>
      </c>
    </row>
    <row r="14" spans="1:10" x14ac:dyDescent="0.2">
      <c r="A14" s="34" t="e" vm="3">
        <v>#VALUE!</v>
      </c>
      <c r="B14" s="27" t="str" cm="1">
        <f t="array" aca="1" ref="B14" ca="1">_FV(A14,"Ticker symbol",TRUE)</f>
        <v>NVDA</v>
      </c>
      <c r="C14" s="27" t="str" cm="1">
        <f t="array" aca="1" ref="C14" ca="1">_FV(A14,"Industry")</f>
        <v>Semiconductors &amp; Semiconductor Equipment</v>
      </c>
      <c r="D14" s="27">
        <v>18.899999999999999</v>
      </c>
      <c r="E14" s="27">
        <v>128</v>
      </c>
      <c r="F14" s="27"/>
      <c r="G14" s="74">
        <v>45708</v>
      </c>
      <c r="H14" s="27">
        <v>1000</v>
      </c>
      <c r="I14" s="27">
        <v>5759</v>
      </c>
      <c r="J14" s="13"/>
    </row>
    <row r="15" spans="1:10" x14ac:dyDescent="0.2">
      <c r="A15" s="34" t="s">
        <v>495</v>
      </c>
      <c r="B15" s="27" t="e" cm="1" vm="4">
        <f t="array" ref="B15">_FV(A15,"Ticker symbol",TRUE)</f>
        <v>#VALUE!</v>
      </c>
      <c r="C15" s="27" t="e" cm="1" vm="5">
        <f t="array" ref="C15">_FV(A15,"Industry")</f>
        <v>#VALUE!</v>
      </c>
      <c r="D15" s="27"/>
      <c r="E15" s="27">
        <v>605.29999999999995</v>
      </c>
      <c r="F15" s="27"/>
      <c r="G15" s="27">
        <v>45730</v>
      </c>
      <c r="H15" s="27">
        <v>2500</v>
      </c>
      <c r="I15" s="27"/>
      <c r="J15" s="13"/>
    </row>
    <row r="16" spans="1:10" x14ac:dyDescent="0.2">
      <c r="B16" s="27"/>
      <c r="C16" s="27"/>
      <c r="D16" s="27"/>
      <c r="E16" s="27"/>
      <c r="F16" s="13"/>
      <c r="G16" s="27"/>
      <c r="H16" s="27"/>
      <c r="I16" s="28"/>
      <c r="J16" s="13"/>
    </row>
    <row r="20" spans="1:13" x14ac:dyDescent="0.2">
      <c r="A20" t="s">
        <v>506</v>
      </c>
    </row>
    <row r="21" spans="1:13" x14ac:dyDescent="0.2">
      <c r="A21" t="s">
        <v>211</v>
      </c>
      <c r="B21" t="s">
        <v>205</v>
      </c>
      <c r="C21" t="s">
        <v>206</v>
      </c>
      <c r="D21" t="s">
        <v>45</v>
      </c>
      <c r="E21" t="s">
        <v>78</v>
      </c>
      <c r="F21" t="s">
        <v>207</v>
      </c>
      <c r="G21" t="s">
        <v>209</v>
      </c>
      <c r="H21" t="s">
        <v>208</v>
      </c>
      <c r="I21" t="s">
        <v>210</v>
      </c>
      <c r="J21" t="s">
        <v>212</v>
      </c>
      <c r="K21" t="s">
        <v>213</v>
      </c>
      <c r="L21" t="s">
        <v>355</v>
      </c>
      <c r="M21" t="s">
        <v>356</v>
      </c>
    </row>
    <row r="22" spans="1:13" x14ac:dyDescent="0.2">
      <c r="A22" t="e" vm="6">
        <v>#VALUE!</v>
      </c>
      <c r="B22" s="27" t="str" cm="1">
        <f t="array" aca="1" ref="B22" ca="1">_FV(A22,"Ticker symbol",TRUE)</f>
        <v>ALB</v>
      </c>
      <c r="C22" s="27" t="str" cm="1">
        <f t="array" aca="1" ref="C22" ca="1">_FV(A22,"Industry")</f>
        <v>Chemicals</v>
      </c>
      <c r="D22" s="27" cm="1">
        <f t="array" aca="1" ref="D22" ca="1">_FV(A22,"Market cap",TRUE)</f>
        <v>10740920000</v>
      </c>
      <c r="E22" s="27" cm="1">
        <f t="array" aca="1" ref="E22" ca="1">_FV(A22,"Price")</f>
        <v>105.64</v>
      </c>
      <c r="F22" s="13" cm="1">
        <f t="array" aca="1" ref="F22" ca="1">_FV(A22,"Change (%)",TRUE)</f>
        <v>8.5044999999999996E-2</v>
      </c>
      <c r="G22" s="27" cm="1">
        <f t="array" aca="1" ref="G22" ca="1">_FV(A22,"52 week high",TRUE)</f>
        <v>113.91</v>
      </c>
      <c r="H22" s="27" cm="1">
        <f t="array" aca="1" ref="H22" ca="1">_FV(A22,"52 week low",TRUE)</f>
        <v>49.430300000000003</v>
      </c>
      <c r="I22" s="28" cm="1">
        <f t="array" aca="1" ref="I22" ca="1">_FV(A22,"Volume")</f>
        <v>5109652</v>
      </c>
      <c r="J22" s="27" t="str" cm="1">
        <f t="array" aca="1" ref="J22" ca="1">_FV(Table13[[#This Row],[Company]],"Headquarters")</f>
        <v>4250 Congress Street, Suite 900, CHARLOTTE, NC, 28209 US</v>
      </c>
      <c r="K22" cm="1">
        <f t="array" aca="1" ref="K22" ca="1">_FV(Table13[[#This Row],[Company]],"Year incorporated",TRUE)</f>
        <v>1993</v>
      </c>
      <c r="L22" s="27"/>
      <c r="M22" s="61" t="b">
        <v>0</v>
      </c>
    </row>
    <row r="23" spans="1:13" x14ac:dyDescent="0.2">
      <c r="A23" t="e" vm="7">
        <v>#VALUE!</v>
      </c>
      <c r="B23" s="27" t="str" cm="1">
        <f t="array" aca="1" ref="B23" ca="1">_FV(A23,"Ticker symbol",TRUE)</f>
        <v>NSSC</v>
      </c>
      <c r="C23" s="27" t="str" cm="1">
        <f t="array" aca="1" ref="C23" ca="1">_FV(A23,"Industry")</f>
        <v>Communications &amp; Networking</v>
      </c>
      <c r="D23" s="27" cm="1">
        <f t="array" aca="1" ref="D23" ca="1">_FV(A23,"Market cap",TRUE)</f>
        <v>1548915000</v>
      </c>
      <c r="E23" s="27" cm="1">
        <f t="array" aca="1" ref="E23" ca="1">_FV(A23,"Price")</f>
        <v>44.09</v>
      </c>
      <c r="F23" s="13" cm="1">
        <f t="array" aca="1" ref="F23" ca="1">_FV(A23,"Change (%)",TRUE)</f>
        <v>3.6420000000000003E-3</v>
      </c>
      <c r="G23" s="27" cm="1">
        <f t="array" aca="1" ref="G23" ca="1">_FV(A23,"52 week high",TRUE)</f>
        <v>45.14</v>
      </c>
      <c r="H23" s="27" cm="1">
        <f t="array" aca="1" ref="H23" ca="1">_FV(A23,"52 week low",TRUE)</f>
        <v>19</v>
      </c>
      <c r="I23" s="28" cm="1">
        <f t="array" aca="1" ref="I23" ca="1">_FV(A23,"Volume")</f>
        <v>373463</v>
      </c>
      <c r="J23" s="27" t="str" cm="1">
        <f t="array" aca="1" ref="J23" ca="1">_FV(Table13[[#This Row],[Company]],"Headquarters")</f>
        <v>333 Bayview Ave, AMITYVILLE, NY, 11701 US</v>
      </c>
      <c r="K23" cm="1">
        <f t="array" aca="1" ref="K23" ca="1">_FV(Table13[[#This Row],[Company]],"Year incorporated",TRUE)</f>
        <v>1971</v>
      </c>
      <c r="L23" s="27"/>
      <c r="M23" s="61" t="b">
        <v>0</v>
      </c>
    </row>
    <row r="24" spans="1:13" x14ac:dyDescent="0.2">
      <c r="A24" t="e" vm="8">
        <v>#VALUE!</v>
      </c>
      <c r="B24" s="27" t="str" cm="1">
        <f t="array" aca="1" ref="B24" ca="1">_FV(A24,"Ticker symbol",TRUE)</f>
        <v>GSL</v>
      </c>
      <c r="C24" s="27" t="str" cm="1">
        <f t="array" aca="1" ref="C24" ca="1">_FV(A24,"Industry")</f>
        <v>Freight &amp; Logistics Services</v>
      </c>
      <c r="D24" s="27" cm="1">
        <f t="array" aca="1" ref="D24" ca="1">_FV(A24,"Market cap",TRUE)</f>
        <v>1005155000</v>
      </c>
      <c r="E24" s="27" cm="1">
        <f t="array" aca="1" ref="E24" ca="1">_FV(A24,"Price")</f>
        <v>28.47</v>
      </c>
      <c r="F24" s="13" cm="1">
        <f t="array" aca="1" ref="F24" ca="1">_FV(A24,"Change (%)",TRUE)</f>
        <v>-2.8020000000000002E-3</v>
      </c>
      <c r="G24" s="27" cm="1">
        <f t="array" aca="1" ref="G24" ca="1">_FV(A24,"52 week high",TRUE)</f>
        <v>33.075000000000003</v>
      </c>
      <c r="H24" s="27" cm="1">
        <f t="array" aca="1" ref="H24" ca="1">_FV(A24,"52 week low",TRUE)</f>
        <v>17.7301</v>
      </c>
      <c r="I24" s="28" cm="1">
        <f t="array" aca="1" ref="I24" ca="1">_FV(A24,"Volume")</f>
        <v>348471</v>
      </c>
      <c r="J24" s="27" t="str" cm="1">
        <f t="array" aca="1" ref="J24" ca="1">_FV(Table13[[#This Row],[Company]],"Headquarters")</f>
        <v>25 Wilton Road, LONDON, SW1V 1LW GB</v>
      </c>
      <c r="K24" cm="1">
        <f t="array" aca="1" ref="K24" ca="1">_FV(Table13[[#This Row],[Company]],"Year incorporated",TRUE)</f>
        <v>2008</v>
      </c>
      <c r="L24" s="27"/>
      <c r="M24" s="61" t="b">
        <v>0</v>
      </c>
    </row>
    <row r="25" spans="1:13" x14ac:dyDescent="0.2">
      <c r="A25" t="e" vm="9">
        <v>#VALUE!</v>
      </c>
      <c r="B25" s="27" t="str" cm="1">
        <f t="array" aca="1" ref="B25" ca="1">_FV(A25,"Ticker symbol",TRUE)</f>
        <v>ZTO</v>
      </c>
      <c r="C25" s="27" t="str" cm="1">
        <f t="array" aca="1" ref="C25" ca="1">_FV(A25,"Industry")</f>
        <v>Freight &amp; Logistics Services</v>
      </c>
      <c r="D25" s="27" cm="1">
        <f t="array" aca="1" ref="D25" ca="1">_FV(A25,"Market cap",TRUE)</f>
        <v>15236460000</v>
      </c>
      <c r="E25" s="27" cm="1">
        <f t="array" aca="1" ref="E25" ca="1">_FV(A25,"Price")</f>
        <v>19.21</v>
      </c>
      <c r="F25" s="13" cm="1">
        <f t="array" aca="1" ref="F25" ca="1">_FV(A25,"Change (%)",TRUE)</f>
        <v>3.1330000000000004E-3</v>
      </c>
      <c r="G25" s="27" cm="1">
        <f t="array" aca="1" ref="G25" ca="1">_FV(A25,"52 week high",TRUE)</f>
        <v>24.73</v>
      </c>
      <c r="H25" s="27" cm="1">
        <f t="array" aca="1" ref="H25" ca="1">_FV(A25,"52 week low",TRUE)</f>
        <v>16.34</v>
      </c>
      <c r="I25" s="28" cm="1">
        <f t="array" aca="1" ref="I25" ca="1">_FV(A25,"Volume")</f>
        <v>448716</v>
      </c>
      <c r="J25" s="27" t="str" cm="1">
        <f t="array" aca="1" ref="J25" ca="1">_FV(Table13[[#This Row],[Company]],"Headquarters")</f>
        <v>Building 1, No. 1685, Huazhi Road, Qingpu District, SHANGHAI, SHANGHAI, 201708 CN</v>
      </c>
      <c r="K25" cm="1">
        <f t="array" aca="1" ref="K25" ca="1">_FV(Table13[[#This Row],[Company]],"Year incorporated",TRUE)</f>
        <v>2015</v>
      </c>
      <c r="L25" s="27"/>
      <c r="M25" s="61" t="b">
        <v>0</v>
      </c>
    </row>
    <row r="26" spans="1:13" x14ac:dyDescent="0.2">
      <c r="A26" t="e" vm="10">
        <v>#VALUE!</v>
      </c>
      <c r="B26" s="27" t="str" cm="1">
        <f t="array" aca="1" ref="B26" ca="1">_FV(A26,"Ticker symbol",TRUE)</f>
        <v>UPS</v>
      </c>
      <c r="C26" s="27" t="str" cm="1">
        <f t="array" aca="1" ref="C26" ca="1">_FV(A26,"Industry")</f>
        <v>Freight &amp; Logistics Services</v>
      </c>
      <c r="D26" s="27" cm="1">
        <f t="array" aca="1" ref="D26" ca="1">_FV(A26,"Market cap",TRUE)</f>
        <v>73806370000</v>
      </c>
      <c r="E26" s="27" cm="1">
        <f t="array" aca="1" ref="E26" ca="1">_FV(A26,"Price")</f>
        <v>87.22</v>
      </c>
      <c r="F26" s="13" cm="1">
        <f t="array" aca="1" ref="F26" ca="1">_FV(A26,"Change (%)",TRUE)</f>
        <v>2.183E-3</v>
      </c>
      <c r="G26" s="27" cm="1">
        <f t="array" aca="1" ref="G26" ca="1">_FV(A26,"52 week high",TRUE)</f>
        <v>138.66999999999999</v>
      </c>
      <c r="H26" s="27" cm="1">
        <f t="array" aca="1" ref="H26" ca="1">_FV(A26,"52 week low",TRUE)</f>
        <v>82</v>
      </c>
      <c r="I26" s="28" cm="1">
        <f t="array" aca="1" ref="I26" ca="1">_FV(A26,"Volume")</f>
        <v>5256153</v>
      </c>
      <c r="J26" s="27" t="str" cm="1">
        <f t="array" aca="1" ref="J26" ca="1">_FV(Table13[[#This Row],[Company]],"Headquarters")</f>
        <v>55 Glenlake Parkway Ne, ATLANTA, GA, 30328 US</v>
      </c>
      <c r="K26" cm="1">
        <f t="array" aca="1" ref="K26" ca="1">_FV(Table13[[#This Row],[Company]],"Year incorporated",TRUE)</f>
        <v>1999</v>
      </c>
      <c r="L26" s="27"/>
      <c r="M26" s="61" t="b">
        <v>0</v>
      </c>
    </row>
    <row r="27" spans="1:13" x14ac:dyDescent="0.2">
      <c r="A27" t="e" vm="11">
        <v>#VALUE!</v>
      </c>
      <c r="B27" s="27" t="str" cm="1">
        <f t="array" aca="1" ref="B27" ca="1">_FV(A27,"Ticker symbol",TRUE)</f>
        <v>BLDR</v>
      </c>
      <c r="C27" s="27" t="str" cm="1">
        <f t="array" aca="1" ref="C27" ca="1">_FV(A27,"Industry")</f>
        <v>Homebuilding &amp; Construction Supplies</v>
      </c>
      <c r="D27" s="27" cm="1">
        <f t="array" aca="1" ref="D27" ca="1">_FV(A27,"Market cap",TRUE)</f>
        <v>13549740000</v>
      </c>
      <c r="E27" s="27" cm="1">
        <f t="array" aca="1" ref="E27" ca="1">_FV(A27,"Price")</f>
        <v>124.06</v>
      </c>
      <c r="F27" s="13" cm="1">
        <f t="array" aca="1" ref="F27" ca="1">_FV(A27,"Change (%)",TRUE)</f>
        <v>-1.127E-3</v>
      </c>
      <c r="G27" s="27" cm="1">
        <f t="array" aca="1" ref="G27" ca="1">_FV(A27,"52 week high",TRUE)</f>
        <v>194.36</v>
      </c>
      <c r="H27" s="27" cm="1">
        <f t="array" aca="1" ref="H27" ca="1">_FV(A27,"52 week low",TRUE)</f>
        <v>102.6</v>
      </c>
      <c r="I27" s="28" cm="1">
        <f t="array" aca="1" ref="I27" ca="1">_FV(A27,"Volume")</f>
        <v>907706</v>
      </c>
      <c r="J27" s="27" t="str" cm="1">
        <f t="array" aca="1" ref="J27" ca="1">_FV(Table13[[#This Row],[Company]],"Headquarters")</f>
        <v>6031 CONNECTION DR., STE. 400, IRVING, TX, 75039 US</v>
      </c>
      <c r="K27" cm="1">
        <f t="array" aca="1" ref="K27" ca="1">_FV(Table13[[#This Row],[Company]],"Year incorporated",TRUE)</f>
        <v>1998</v>
      </c>
      <c r="L27" s="27"/>
      <c r="M27" s="61" t="b">
        <v>0</v>
      </c>
    </row>
    <row r="28" spans="1:13" x14ac:dyDescent="0.2">
      <c r="A28" t="e" vm="12">
        <v>#VALUE!</v>
      </c>
      <c r="B28" s="27" t="str" cm="1">
        <f t="array" aca="1" ref="B28" ca="1">_FV(A28,"Ticker symbol",TRUE)</f>
        <v>FG</v>
      </c>
      <c r="C28" s="27" t="str" cm="1">
        <f t="array" aca="1" ref="C28" ca="1">_FV(A28,"Industry")</f>
        <v>Insurance</v>
      </c>
      <c r="D28" s="27" cm="1">
        <f t="array" aca="1" ref="D28" ca="1">_FV(A28,"Market cap",TRUE)</f>
        <v>3969447000</v>
      </c>
      <c r="E28" s="27" cm="1">
        <f t="array" aca="1" ref="E28" ca="1">_FV(A28,"Price")</f>
        <v>29.71</v>
      </c>
      <c r="F28" s="13" cm="1">
        <f t="array" aca="1" ref="F28" ca="1">_FV(A28,"Change (%)",TRUE)</f>
        <v>1.2956000000000001E-2</v>
      </c>
      <c r="G28" s="27" cm="1">
        <f t="array" aca="1" ref="G28" ca="1">_FV(A28,"52 week high",TRUE)</f>
        <v>50.75</v>
      </c>
      <c r="H28" s="27" cm="1">
        <f t="array" aca="1" ref="H28" ca="1">_FV(A28,"52 week low",TRUE)</f>
        <v>28.7</v>
      </c>
      <c r="I28" s="28" cm="1">
        <f t="array" aca="1" ref="I28" ca="1">_FV(A28,"Volume")</f>
        <v>97104</v>
      </c>
      <c r="J28" s="27" t="str" cm="1">
        <f t="array" aca="1" ref="J28" ca="1">_FV(Table13[[#This Row],[Company]],"Headquarters")</f>
        <v>801 Grand Ave, Suite 2600, DES MOINES, IA, 50309 US</v>
      </c>
      <c r="K28" cm="1">
        <f t="array" aca="1" ref="K28" ca="1">_FV(Table13[[#This Row],[Company]],"Year incorporated",TRUE)</f>
        <v>2020</v>
      </c>
      <c r="L28" s="27"/>
      <c r="M28" s="61" t="b">
        <v>0</v>
      </c>
    </row>
    <row r="29" spans="1:13" x14ac:dyDescent="0.2">
      <c r="A29" t="e" vm="13">
        <v>#VALUE!</v>
      </c>
      <c r="B29" s="27" t="str" cm="1">
        <f t="array" aca="1" ref="B29" ca="1">_FV(A29,"Ticker symbol",TRUE)</f>
        <v>CMCO</v>
      </c>
      <c r="C29" s="27" t="str" cm="1">
        <f t="array" aca="1" ref="C29" ca="1">_FV(A29,"Industry")</f>
        <v>Machinery, Equipment &amp; Components</v>
      </c>
      <c r="D29" s="27" cm="1">
        <f t="array" aca="1" ref="D29" ca="1">_FV(A29,"Market cap",TRUE)</f>
        <v>425422100</v>
      </c>
      <c r="E29" s="27" cm="1">
        <f t="array" aca="1" ref="E29" ca="1">_FV(A29,"Price")</f>
        <v>15.75</v>
      </c>
      <c r="F29" s="13" cm="1">
        <f t="array" aca="1" ref="F29" ca="1">_FV(A29,"Change (%)",TRUE)</f>
        <v>2.0739E-2</v>
      </c>
      <c r="G29" s="27" cm="1">
        <f t="array" aca="1" ref="G29" ca="1">_FV(A29,"52 week high",TRUE)</f>
        <v>41.05</v>
      </c>
      <c r="H29" s="27" cm="1">
        <f t="array" aca="1" ref="H29" ca="1">_FV(A29,"52 week low",TRUE)</f>
        <v>11.7807</v>
      </c>
      <c r="I29" s="28" cm="1">
        <f t="array" aca="1" ref="I29" ca="1">_FV(A29,"Volume")</f>
        <v>209999</v>
      </c>
      <c r="J29" s="27" t="str" cm="1">
        <f t="array" aca="1" ref="J29" ca="1">_FV(Table13[[#This Row],[Company]],"Headquarters")</f>
        <v>13320 Ballantyne Corporate Place, Suite D, CHARLOTTE, NC, 28277 US</v>
      </c>
      <c r="K29" cm="1">
        <f t="array" aca="1" ref="K29" ca="1">_FV(Table13[[#This Row],[Company]],"Year incorporated",TRUE)</f>
        <v>1929</v>
      </c>
      <c r="L29" s="27"/>
      <c r="M29" s="61" t="b">
        <v>0</v>
      </c>
    </row>
    <row r="30" spans="1:13" x14ac:dyDescent="0.2">
      <c r="A30" t="e" vm="14">
        <v>#VALUE!</v>
      </c>
      <c r="B30" s="27" t="str" cm="1">
        <f t="array" aca="1" ref="B30" ca="1">_FV(A30,"Ticker symbol",TRUE)</f>
        <v>GRC</v>
      </c>
      <c r="C30" s="27" t="str" cm="1">
        <f t="array" aca="1" ref="C30" ca="1">_FV(A30,"Industry")</f>
        <v>Machinery, Equipment &amp; Components</v>
      </c>
      <c r="D30" s="27" cm="1">
        <f t="array" aca="1" ref="D30" ca="1">_FV(A30,"Market cap",TRUE)</f>
        <v>1267753000</v>
      </c>
      <c r="E30" s="27" cm="1">
        <f t="array" aca="1" ref="E30" ca="1">_FV(A30,"Price")</f>
        <v>46.57</v>
      </c>
      <c r="F30" s="13" cm="1">
        <f t="array" aca="1" ref="F30" ca="1">_FV(A30,"Change (%)",TRUE)</f>
        <v>-5.1913999999999995E-2</v>
      </c>
      <c r="G30" s="27" cm="1">
        <f t="array" aca="1" ref="G30" ca="1">_FV(A30,"52 week high",TRUE)</f>
        <v>49.244999999999997</v>
      </c>
      <c r="H30" s="27" cm="1">
        <f t="array" aca="1" ref="H30" ca="1">_FV(A30,"52 week low",TRUE)</f>
        <v>30.870899999999999</v>
      </c>
      <c r="I30" s="28" cm="1">
        <f t="array" aca="1" ref="I30" ca="1">_FV(A30,"Volume")</f>
        <v>181874</v>
      </c>
      <c r="J30" s="27" t="str" cm="1">
        <f t="array" aca="1" ref="J30" ca="1">_FV(Table13[[#This Row],[Company]],"Headquarters")</f>
        <v>PO Box 1217, 600 S Airport Rd, MANSFIELD, OH, 44901 US</v>
      </c>
      <c r="K30" cm="1">
        <f t="array" aca="1" ref="K30" ca="1">_FV(Table13[[#This Row],[Company]],"Year incorporated",TRUE)</f>
        <v>1934</v>
      </c>
      <c r="L30" s="27"/>
      <c r="M30" s="61" t="b">
        <v>0</v>
      </c>
    </row>
    <row r="31" spans="1:13" x14ac:dyDescent="0.2">
      <c r="A31" t="e" vm="15">
        <v>#VALUE!</v>
      </c>
      <c r="B31" s="27" t="str" cm="1">
        <f t="array" aca="1" ref="B31" ca="1">_FV(A31,"Ticker symbol",TRUE)</f>
        <v>ATKR</v>
      </c>
      <c r="C31" s="27" t="str" cm="1">
        <f t="array" aca="1" ref="C31" ca="1">_FV(A31,"Industry")</f>
        <v>Machinery, Equipment &amp; Components</v>
      </c>
      <c r="D31" s="27" cm="1">
        <f t="array" aca="1" ref="D31" ca="1">_FV(A31,"Market cap",TRUE)</f>
        <v>2224981000</v>
      </c>
      <c r="E31" s="27" cm="1">
        <f t="array" aca="1" ref="E31" ca="1">_FV(A31,"Price")</f>
        <v>68.33</v>
      </c>
      <c r="F31" s="13" cm="1">
        <f t="array" aca="1" ref="F31" ca="1">_FV(A31,"Change (%)",TRUE)</f>
        <v>5.888E-3</v>
      </c>
      <c r="G31" s="27" cm="1">
        <f t="array" aca="1" ref="G31" ca="1">_FV(A31,"52 week high",TRUE)</f>
        <v>105.27500000000001</v>
      </c>
      <c r="H31" s="27" cm="1">
        <f t="array" aca="1" ref="H31" ca="1">_FV(A31,"52 week low",TRUE)</f>
        <v>49.92</v>
      </c>
      <c r="I31" s="28" cm="1">
        <f t="array" aca="1" ref="I31" ca="1">_FV(A31,"Volume")</f>
        <v>440411</v>
      </c>
      <c r="J31" s="27" t="str" cm="1">
        <f t="array" aca="1" ref="J31" ca="1">_FV(Table13[[#This Row],[Company]],"Headquarters")</f>
        <v>16100 SOUTH LATHROP AVENUE, HARVEY, IL, 60426 US</v>
      </c>
      <c r="K31" cm="1">
        <f t="array" aca="1" ref="K31" ca="1">_FV(Table13[[#This Row],[Company]],"Year incorporated",TRUE)</f>
        <v>2010</v>
      </c>
      <c r="L31" s="27"/>
      <c r="M31" s="61" t="b">
        <v>0</v>
      </c>
    </row>
    <row r="32" spans="1:13" x14ac:dyDescent="0.2">
      <c r="A32" t="e" vm="16">
        <v>#VALUE!</v>
      </c>
      <c r="B32" s="27" t="str" cm="1">
        <f t="array" aca="1" ref="B32" ca="1">_FV(A32,"Ticker symbol",TRUE)</f>
        <v>AIN</v>
      </c>
      <c r="C32" s="27" t="str" cm="1">
        <f t="array" aca="1" ref="C32" ca="1">_FV(A32,"Industry")</f>
        <v>Machinery, Equipment &amp; Components</v>
      </c>
      <c r="D32" s="27" cm="1">
        <f t="array" aca="1" ref="D32" ca="1">_FV(A32,"Market cap",TRUE)</f>
        <v>1691530000</v>
      </c>
      <c r="E32" s="27" cm="1">
        <f t="array" aca="1" ref="E32" ca="1">_FV(A32,"Price")</f>
        <v>60.26</v>
      </c>
      <c r="F32" s="13" cm="1">
        <f t="array" aca="1" ref="F32" ca="1">_FV(A32,"Change (%)",TRUE)</f>
        <v>-2.6479999999999997E-3</v>
      </c>
      <c r="G32" s="27" cm="1">
        <f t="array" aca="1" ref="G32" ca="1">_FV(A32,"52 week high",TRUE)</f>
        <v>88.13</v>
      </c>
      <c r="H32" s="27" cm="1">
        <f t="array" aca="1" ref="H32" ca="1">_FV(A32,"52 week low",TRUE)</f>
        <v>50.6</v>
      </c>
      <c r="I32" s="28" cm="1">
        <f t="array" aca="1" ref="I32" ca="1">_FV(A32,"Volume")</f>
        <v>268036</v>
      </c>
      <c r="J32" s="27" t="str" cm="1">
        <f t="array" aca="1" ref="J32" ca="1">_FV(Table13[[#This Row],[Company]],"Headquarters")</f>
        <v>216 Airport Drive, ROCHESTER, NH, 03867 US</v>
      </c>
      <c r="K32" cm="1">
        <f t="array" aca="1" ref="K32" ca="1">_FV(Table13[[#This Row],[Company]],"Year incorporated",TRUE)</f>
        <v>1987</v>
      </c>
      <c r="L32" s="27"/>
      <c r="M32" s="61" t="b">
        <v>0</v>
      </c>
    </row>
    <row r="33" spans="1:13" x14ac:dyDescent="0.2">
      <c r="A33" t="e" vm="17">
        <v>#VALUE!</v>
      </c>
      <c r="B33" s="27" t="str" cm="1">
        <f t="array" aca="1" ref="B33" ca="1">_FV(A33,"Ticker symbol",TRUE)</f>
        <v>FCX</v>
      </c>
      <c r="C33" s="27" t="str" cm="1">
        <f t="array" aca="1" ref="C33" ca="1">_FV(A33,"Industry")</f>
        <v>Metals &amp; Mining</v>
      </c>
      <c r="D33" s="27" cm="1">
        <f t="array" aca="1" ref="D33" ca="1">_FV(A33,"Market cap",TRUE)</f>
        <v>58550870000</v>
      </c>
      <c r="E33" s="27" cm="1">
        <f t="array" aca="1" ref="E33" ca="1">_FV(A33,"Price")</f>
        <v>41.37</v>
      </c>
      <c r="F33" s="13" cm="1">
        <f t="array" aca="1" ref="F33" ca="1">_FV(A33,"Change (%)",TRUE)</f>
        <v>3.3960000000000001E-3</v>
      </c>
      <c r="G33" s="27" cm="1">
        <f t="array" aca="1" ref="G33" ca="1">_FV(A33,"52 week high",TRUE)</f>
        <v>49.21</v>
      </c>
      <c r="H33" s="27" cm="1">
        <f t="array" aca="1" ref="H33" ca="1">_FV(A33,"52 week low",TRUE)</f>
        <v>27.66</v>
      </c>
      <c r="I33" s="28" cm="1">
        <f t="array" aca="1" ref="I33" ca="1">_FV(A33,"Volume")</f>
        <v>10605287</v>
      </c>
      <c r="J33" s="27" t="str" cm="1">
        <f t="array" aca="1" ref="J33" ca="1">_FV(Table13[[#This Row],[Company]],"Headquarters")</f>
        <v>333 N Central Ave, PHOENIX, AZ, 85004 US</v>
      </c>
      <c r="K33" cm="1">
        <f t="array" aca="1" ref="K33" ca="1">_FV(Table13[[#This Row],[Company]],"Year incorporated",TRUE)</f>
        <v>1987</v>
      </c>
      <c r="L33" s="27"/>
      <c r="M33" s="61" t="b">
        <v>0</v>
      </c>
    </row>
    <row r="34" spans="1:13" x14ac:dyDescent="0.2">
      <c r="A34" t="e" vm="18">
        <v>#VALUE!</v>
      </c>
      <c r="B34" s="27" t="str" cm="1">
        <f t="array" aca="1" ref="B34" ca="1">_FV(A34,"Ticker symbol",TRUE)</f>
        <v>NUE</v>
      </c>
      <c r="C34" s="27" t="str" cm="1">
        <f t="array" aca="1" ref="C34" ca="1">_FV(A34,"Industry")</f>
        <v>Metals &amp; Mining</v>
      </c>
      <c r="D34" s="27" cm="1">
        <f t="array" aca="1" ref="D34" ca="1">_FV(A34,"Market cap",TRUE)</f>
        <v>31366020000</v>
      </c>
      <c r="E34" s="27" cm="1">
        <f t="array" aca="1" ref="E34" ca="1">_FV(A34,"Price")</f>
        <v>138.69999999999999</v>
      </c>
      <c r="F34" s="13" cm="1">
        <f t="array" aca="1" ref="F34" ca="1">_FV(A34,"Change (%)",TRUE)</f>
        <v>1.8060000000000001E-3</v>
      </c>
      <c r="G34" s="27" cm="1">
        <f t="array" aca="1" ref="G34" ca="1">_FV(A34,"52 week high",TRUE)</f>
        <v>170.52</v>
      </c>
      <c r="H34" s="27" cm="1">
        <f t="array" aca="1" ref="H34" ca="1">_FV(A34,"52 week low",TRUE)</f>
        <v>97.59</v>
      </c>
      <c r="I34" s="28" cm="1">
        <f t="array" aca="1" ref="I34" ca="1">_FV(A34,"Volume")</f>
        <v>1360304</v>
      </c>
      <c r="J34" s="27" t="str" cm="1">
        <f t="array" aca="1" ref="J34" ca="1">_FV(Table13[[#This Row],[Company]],"Headquarters")</f>
        <v>1915 REXFORD RD, CHARLOTTE, NC, 28211 US</v>
      </c>
      <c r="K34" cm="1">
        <f t="array" aca="1" ref="K34" ca="1">_FV(Table13[[#This Row],[Company]],"Year incorporated",TRUE)</f>
        <v>1958</v>
      </c>
      <c r="L34" s="27"/>
      <c r="M34" s="61" t="b">
        <v>0</v>
      </c>
    </row>
    <row r="35" spans="1:13" x14ac:dyDescent="0.2">
      <c r="A35" t="e" vm="19">
        <v>#VALUE!</v>
      </c>
      <c r="B35" s="27" t="str" cm="1">
        <f t="array" aca="1" ref="B35" ca="1">_FV(A35,"Ticker symbol",TRUE)</f>
        <v>CIVI</v>
      </c>
      <c r="C35" s="27" t="str" cm="1">
        <f t="array" aca="1" ref="C35" ca="1">_FV(A35,"Industry")</f>
        <v>Oil &amp; Gas</v>
      </c>
      <c r="D35" s="27" cm="1">
        <f t="array" aca="1" ref="D35" ca="1">_FV(A35,"Market cap",TRUE)</f>
        <v>2539811000</v>
      </c>
      <c r="E35" s="27" cm="1">
        <f t="array" aca="1" ref="E35" ca="1">_FV(A35,"Price")</f>
        <v>28.54</v>
      </c>
      <c r="F35" s="13" cm="1">
        <f t="array" aca="1" ref="F35" ca="1">_FV(A35,"Change (%)",TRUE)</f>
        <v>-2.0926E-2</v>
      </c>
      <c r="G35" s="27" cm="1">
        <f t="array" aca="1" ref="G35" ca="1">_FV(A35,"52 week high",TRUE)</f>
        <v>55.35</v>
      </c>
      <c r="H35" s="27" cm="1">
        <f t="array" aca="1" ref="H35" ca="1">_FV(A35,"52 week low",TRUE)</f>
        <v>22.79</v>
      </c>
      <c r="I35" s="28" cm="1">
        <f t="array" aca="1" ref="I35" ca="1">_FV(A35,"Volume")</f>
        <v>1085550</v>
      </c>
      <c r="J35" s="27" t="str" cm="1">
        <f t="array" aca="1" ref="J35" ca="1">_FV(Table13[[#This Row],[Company]],"Headquarters")</f>
        <v>555 - 17Th Street, Suite 3700, DENVER, CO, 80202 US</v>
      </c>
      <c r="K35" cm="1">
        <f t="array" aca="1" ref="K35" ca="1">_FV(Table13[[#This Row],[Company]],"Year incorporated",TRUE)</f>
        <v>2010</v>
      </c>
      <c r="L35" s="27"/>
      <c r="M35" s="61" t="b">
        <v>0</v>
      </c>
    </row>
    <row r="36" spans="1:13" x14ac:dyDescent="0.2">
      <c r="A36" t="e" vm="20">
        <v>#VALUE!</v>
      </c>
      <c r="B36" s="27" t="str" cm="1">
        <f t="array" aca="1" ref="B36" ca="1">_FV(A36,"Ticker symbol",TRUE)</f>
        <v>MG</v>
      </c>
      <c r="C36" s="27" t="str" cm="1">
        <f t="array" aca="1" ref="C36" ca="1">_FV(A36,"Industry")</f>
        <v>Oil &amp; Gas</v>
      </c>
      <c r="D36" s="27" cm="1">
        <f t="array" aca="1" ref="D36" ca="1">_FV(A36,"Market cap",TRUE)</f>
        <v>306549800</v>
      </c>
      <c r="E36" s="27" cm="1">
        <f t="array" aca="1" ref="E36" ca="1">_FV(A36,"Price")</f>
        <v>10.029999999999999</v>
      </c>
      <c r="F36" s="13" cm="1">
        <f t="array" aca="1" ref="F36" ca="1">_FV(A36,"Change (%)",TRUE)</f>
        <v>1.1089E-2</v>
      </c>
      <c r="G36" s="27" cm="1">
        <f t="array" aca="1" ref="G36" ca="1">_FV(A36,"52 week high",TRUE)</f>
        <v>11.45</v>
      </c>
      <c r="H36" s="27" cm="1">
        <f t="array" aca="1" ref="H36" ca="1">_FV(A36,"52 week low",TRUE)</f>
        <v>7.06</v>
      </c>
      <c r="I36" s="28" cm="1">
        <f t="array" aca="1" ref="I36" ca="1">_FV(A36,"Volume")</f>
        <v>83191</v>
      </c>
      <c r="J36" s="27" t="str" cm="1">
        <f t="array" aca="1" ref="J36" ca="1">_FV(Table13[[#This Row],[Company]],"Headquarters")</f>
        <v>195 Clarksville Rd, PRINCETON JUNCTION, NJ, 08550-5392 US</v>
      </c>
      <c r="K36" cm="1">
        <f t="array" aca="1" ref="K36" ca="1">_FV(Table13[[#This Row],[Company]],"Year incorporated",TRUE)</f>
        <v>1994</v>
      </c>
      <c r="L36" s="27"/>
      <c r="M36" s="61" t="b">
        <v>0</v>
      </c>
    </row>
    <row r="37" spans="1:13" x14ac:dyDescent="0.2">
      <c r="A37" t="e" vm="21">
        <v>#VALUE!</v>
      </c>
      <c r="B37" s="27" t="str" cm="1">
        <f t="array" aca="1" ref="B37" ca="1">_FV(A37,"Ticker symbol",TRUE)</f>
        <v>SM</v>
      </c>
      <c r="C37" s="27" t="str" cm="1">
        <f t="array" aca="1" ref="C37" ca="1">_FV(A37,"Industry")</f>
        <v>Oil &amp; Gas</v>
      </c>
      <c r="D37" s="27" cm="1">
        <f t="array" aca="1" ref="D37" ca="1">_FV(A37,"Market cap",TRUE)</f>
        <v>2360005000</v>
      </c>
      <c r="E37" s="27" cm="1">
        <f t="array" aca="1" ref="E37" ca="1">_FV(A37,"Price")</f>
        <v>20.79</v>
      </c>
      <c r="F37" s="13" cm="1">
        <f t="array" aca="1" ref="F37" ca="1">_FV(A37,"Change (%)",TRUE)</f>
        <v>-3.3922000000000001E-2</v>
      </c>
      <c r="G37" s="27" cm="1">
        <f t="array" aca="1" ref="G37" ca="1">_FV(A37,"52 week high",TRUE)</f>
        <v>46.42</v>
      </c>
      <c r="H37" s="27" cm="1">
        <f t="array" aca="1" ref="H37" ca="1">_FV(A37,"52 week low",TRUE)</f>
        <v>19.670000000000002</v>
      </c>
      <c r="I37" s="28" cm="1">
        <f t="array" aca="1" ref="I37" ca="1">_FV(A37,"Volume")</f>
        <v>2033434</v>
      </c>
      <c r="J37" s="27" t="str" cm="1">
        <f t="array" aca="1" ref="J37" ca="1">_FV(Table13[[#This Row],[Company]],"Headquarters")</f>
        <v>1700 LINCOLN STREET, SUITE 3200, DENVER, CO, 80203 US</v>
      </c>
      <c r="K37" cm="1">
        <f t="array" aca="1" ref="K37" ca="1">_FV(Table13[[#This Row],[Company]],"Year incorporated",TRUE)</f>
        <v>1915</v>
      </c>
      <c r="L37" s="27"/>
      <c r="M37" s="61" t="b">
        <v>1</v>
      </c>
    </row>
    <row r="38" spans="1:13" x14ac:dyDescent="0.2">
      <c r="A38" t="e" vm="22">
        <v>#VALUE!</v>
      </c>
      <c r="B38" s="27" t="str" cm="1">
        <f t="array" aca="1" ref="B38" ca="1">_FV(A38,"Ticker symbol",TRUE)</f>
        <v>COP</v>
      </c>
      <c r="C38" s="27" t="str" cm="1">
        <f t="array" aca="1" ref="C38" ca="1">_FV(A38,"Industry")</f>
        <v>Oil &amp; Gas</v>
      </c>
      <c r="D38" s="27" cm="1">
        <f t="array" aca="1" ref="D38" ca="1">_FV(A38,"Market cap",TRUE)</f>
        <v>109170000000</v>
      </c>
      <c r="E38" s="27" cm="1">
        <f t="array" aca="1" ref="E38" ca="1">_FV(A38,"Price")</f>
        <v>88.03</v>
      </c>
      <c r="F38" s="13" cm="1">
        <f t="array" aca="1" ref="F38" ca="1">_FV(A38,"Change (%)",TRUE)</f>
        <v>-2.2757999999999997E-2</v>
      </c>
      <c r="G38" s="27" cm="1">
        <f t="array" aca="1" ref="G38" ca="1">_FV(A38,"52 week high",TRUE)</f>
        <v>115.38</v>
      </c>
      <c r="H38" s="27" cm="1">
        <f t="array" aca="1" ref="H38" ca="1">_FV(A38,"52 week low",TRUE)</f>
        <v>79.88</v>
      </c>
      <c r="I38" s="28" cm="1">
        <f t="array" aca="1" ref="I38" ca="1">_FV(A38,"Volume")</f>
        <v>7886582</v>
      </c>
      <c r="J38" s="27" t="str" cm="1">
        <f t="array" aca="1" ref="J38" ca="1">_FV(Table13[[#This Row],[Company]],"Headquarters")</f>
        <v>925 N. Eldridge Parkway, HOUSTON, TX, 77079-2703 US</v>
      </c>
      <c r="K38" cm="1">
        <f t="array" aca="1" ref="K38" ca="1">_FV(Table13[[#This Row],[Company]],"Year incorporated",TRUE)</f>
        <v>2001</v>
      </c>
      <c r="L38" s="27"/>
      <c r="M38" s="61" t="b">
        <v>0</v>
      </c>
    </row>
    <row r="39" spans="1:13" x14ac:dyDescent="0.2">
      <c r="A39" t="e" vm="23">
        <v>#VALUE!</v>
      </c>
      <c r="B39" s="27" t="str" cm="1">
        <f t="array" aca="1" ref="B39" ca="1">_FV(A39,"Ticker symbol",TRUE)</f>
        <v>APA</v>
      </c>
      <c r="C39" s="27" t="str" cm="1">
        <f t="array" aca="1" ref="C39" ca="1">_FV(A39,"Industry")</f>
        <v>Oil &amp; Gas</v>
      </c>
      <c r="D39" s="27" cm="1">
        <f t="array" aca="1" ref="D39" ca="1">_FV(A39,"Market cap",TRUE)</f>
        <v>8189732000</v>
      </c>
      <c r="E39" s="27" cm="1">
        <f t="array" aca="1" ref="E39" ca="1">_FV(A39,"Price")</f>
        <v>23.83</v>
      </c>
      <c r="F39" s="13" cm="1">
        <f t="array" aca="1" ref="F39" ca="1">_FV(A39,"Change (%)",TRUE)</f>
        <v>-3.2087999999999998E-2</v>
      </c>
      <c r="G39" s="27" cm="1">
        <f t="array" aca="1" ref="G39" ca="1">_FV(A39,"52 week high",TRUE)</f>
        <v>25.824999999999999</v>
      </c>
      <c r="H39" s="27" cm="1">
        <f t="array" aca="1" ref="H39" ca="1">_FV(A39,"52 week low",TRUE)</f>
        <v>13.584</v>
      </c>
      <c r="I39" s="28" cm="1">
        <f t="array" aca="1" ref="I39" ca="1">_FV(A39,"Volume")</f>
        <v>6165430</v>
      </c>
      <c r="J39" s="27" t="str" cm="1">
        <f t="array" aca="1" ref="J39" ca="1">_FV(Table13[[#This Row],[Company]],"Headquarters")</f>
        <v>2000 W Sam Houston Pkwy S, Suite 200, HOUSTON, TX, 77042 US</v>
      </c>
      <c r="K39" s="60" cm="1">
        <f t="array" aca="1" ref="K39" ca="1">_FV(Table13[[#This Row],[Company]],"Year incorporated",TRUE)</f>
        <v>2021</v>
      </c>
      <c r="L39" s="27"/>
      <c r="M39" s="61" t="b">
        <v>0</v>
      </c>
    </row>
    <row r="40" spans="1:13" x14ac:dyDescent="0.2">
      <c r="A40" t="e" vm="24">
        <v>#VALUE!</v>
      </c>
      <c r="B40" s="27" t="str" cm="1">
        <f t="array" aca="1" ref="B40" ca="1">_FV(A40,"Ticker symbol",TRUE)</f>
        <v>DINO</v>
      </c>
      <c r="C40" s="27" t="str" cm="1">
        <f t="array" aca="1" ref="C40" ca="1">_FV(A40,"Industry")</f>
        <v>Oil &amp; Gas</v>
      </c>
      <c r="D40" s="27" cm="1">
        <f t="array" aca="1" ref="D40" ca="1">_FV(A40,"Market cap",TRUE)</f>
        <v>9894690000</v>
      </c>
      <c r="E40" s="27" cm="1">
        <f t="array" aca="1" ref="E40" ca="1">_FV(A40,"Price")</f>
        <v>54.54</v>
      </c>
      <c r="F40" s="13" cm="1">
        <f t="array" aca="1" ref="F40" ca="1">_FV(A40,"Change (%)",TRUE)</f>
        <v>-5.6520000000000008E-3</v>
      </c>
      <c r="G40" s="27" cm="1">
        <f t="array" aca="1" ref="G40" ca="1">_FV(A40,"52 week high",TRUE)</f>
        <v>55.625</v>
      </c>
      <c r="H40" s="27" cm="1">
        <f t="array" aca="1" ref="H40" ca="1">_FV(A40,"52 week low",TRUE)</f>
        <v>24.66</v>
      </c>
      <c r="I40" s="28" cm="1">
        <f t="array" aca="1" ref="I40" ca="1">_FV(A40,"Volume")</f>
        <v>1265791</v>
      </c>
      <c r="J40" s="27" t="str" cm="1">
        <f t="array" aca="1" ref="J40" ca="1">_FV(Table13[[#This Row],[Company]],"Headquarters")</f>
        <v>2323 Victory Avenue, Suite 1400, DALLAS, TX, 75219 US</v>
      </c>
      <c r="K40" cm="1">
        <f t="array" aca="1" ref="K40" ca="1">_FV(Table13[[#This Row],[Company]],"Year incorporated",TRUE)</f>
        <v>2021</v>
      </c>
      <c r="L40" s="27" t="s">
        <v>357</v>
      </c>
      <c r="M40" s="61" t="b">
        <v>1</v>
      </c>
    </row>
    <row r="41" spans="1:13" x14ac:dyDescent="0.2">
      <c r="A41" t="e" vm="25">
        <v>#VALUE!</v>
      </c>
      <c r="B41" s="27" t="str" cm="1">
        <f t="array" aca="1" ref="B41" ca="1">_FV(A41,"Ticker symbol",TRUE)</f>
        <v>OXY</v>
      </c>
      <c r="C41" s="27" t="str" cm="1">
        <f t="array" aca="1" ref="C41" ca="1">_FV(A41,"Industry")</f>
        <v>Oil &amp; Gas</v>
      </c>
      <c r="D41" s="27" cm="1">
        <f t="array" aca="1" ref="D41" ca="1">_FV(A41,"Market cap",TRUE)</f>
        <v>41080670000</v>
      </c>
      <c r="E41" s="27" cm="1">
        <f t="array" aca="1" ref="E41" ca="1">_FV(A41,"Price")</f>
        <v>42.57</v>
      </c>
      <c r="F41" s="13" cm="1">
        <f t="array" aca="1" ref="F41" ca="1">_FV(A41,"Change (%)",TRUE)</f>
        <v>-7.2290000000000002E-3</v>
      </c>
      <c r="G41" s="27" cm="1">
        <f t="array" aca="1" ref="G41" ca="1">_FV(A41,"52 week high",TRUE)</f>
        <v>53.2</v>
      </c>
      <c r="H41" s="27" cm="1">
        <f t="array" aca="1" ref="H41" ca="1">_FV(A41,"52 week low",TRUE)</f>
        <v>34.784999999999997</v>
      </c>
      <c r="I41" s="28" cm="1">
        <f t="array" aca="1" ref="I41" ca="1">_FV(A41,"Volume")</f>
        <v>7213344</v>
      </c>
      <c r="J41" s="27" t="str" cm="1">
        <f t="array" aca="1" ref="J41" ca="1">_FV(Table13[[#This Row],[Company]],"Headquarters")</f>
        <v>5 GREENWAY PLAZA, SUITE 110, HOUSTON, TX, 77046 US</v>
      </c>
      <c r="K41" cm="1">
        <f t="array" aca="1" ref="K41" ca="1">_FV(Table13[[#This Row],[Company]],"Year incorporated",TRUE)</f>
        <v>1986</v>
      </c>
      <c r="L41" s="27"/>
      <c r="M41" s="61" t="b">
        <v>0</v>
      </c>
    </row>
    <row r="42" spans="1:13" x14ac:dyDescent="0.2">
      <c r="A42" t="e" vm="26">
        <v>#VALUE!</v>
      </c>
      <c r="B42" s="27" t="str" cm="1">
        <f t="array" aca="1" ref="B42" ca="1">_FV(A42,"Ticker symbol",TRUE)</f>
        <v>NGS</v>
      </c>
      <c r="C42" s="27" t="str" cm="1">
        <f t="array" aca="1" ref="C42" ca="1">_FV(A42,"Industry")</f>
        <v>Oil &amp; Gas Related Equipment and Services</v>
      </c>
      <c r="D42" s="27" cm="1">
        <f t="array" aca="1" ref="D42" ca="1">_FV(A42,"Market cap",TRUE)</f>
        <v>346418700</v>
      </c>
      <c r="E42" s="27" cm="1">
        <f t="array" aca="1" ref="E42" ca="1">_FV(A42,"Price")</f>
        <v>27.71</v>
      </c>
      <c r="F42" s="13" cm="1">
        <f t="array" aca="1" ref="F42" ca="1">_FV(A42,"Change (%)",TRUE)</f>
        <v>-1.0357E-2</v>
      </c>
      <c r="G42" s="27" cm="1">
        <f t="array" aca="1" ref="G42" ca="1">_FV(A42,"52 week high",TRUE)</f>
        <v>29.74</v>
      </c>
      <c r="H42" s="27" cm="1">
        <f t="array" aca="1" ref="H42" ca="1">_FV(A42,"52 week low",TRUE)</f>
        <v>16.7301</v>
      </c>
      <c r="I42" s="28" cm="1">
        <f t="array" aca="1" ref="I42" ca="1">_FV(A42,"Volume")</f>
        <v>46227</v>
      </c>
      <c r="J42" s="27" t="str" cm="1">
        <f t="array" aca="1" ref="J42" ca="1">_FV(Table13[[#This Row],[Company]],"Headquarters")</f>
        <v>404 Veterans Airpark Lane, Suite 300, MIDLAND, TX, 79705 US</v>
      </c>
      <c r="K42" cm="1">
        <f t="array" aca="1" ref="K42" ca="1">_FV(Table13[[#This Row],[Company]],"Year incorporated",TRUE)</f>
        <v>1998</v>
      </c>
      <c r="L42" s="27"/>
      <c r="M42" s="61" t="b">
        <v>0</v>
      </c>
    </row>
    <row r="43" spans="1:13" x14ac:dyDescent="0.2">
      <c r="A43" t="e" vm="27">
        <v>#VALUE!</v>
      </c>
      <c r="B43" s="27" t="str" cm="1">
        <f t="array" aca="1" ref="B43" ca="1">_FV(A43,"Ticker symbol",TRUE)</f>
        <v>PYPL</v>
      </c>
      <c r="C43" s="27" t="str" cm="1">
        <f t="array" aca="1" ref="C43" ca="1">_FV(A43,"Industry")</f>
        <v>Professional &amp; Commercial Services</v>
      </c>
      <c r="D43" s="27" cm="1">
        <f t="array" aca="1" ref="D43" ca="1">_FV(A43,"Market cap",TRUE)</f>
        <v>65032610000</v>
      </c>
      <c r="E43" s="27" cm="1">
        <f t="array" aca="1" ref="E43" ca="1">_FV(A43,"Price")</f>
        <v>69.77</v>
      </c>
      <c r="F43" s="13" cm="1">
        <f t="array" aca="1" ref="F43" ca="1">_FV(A43,"Change (%)",TRUE)</f>
        <v>1.5790000000000001E-3</v>
      </c>
      <c r="G43" s="27" cm="1">
        <f t="array" aca="1" ref="G43" ca="1">_FV(A43,"52 week high",TRUE)</f>
        <v>93.66</v>
      </c>
      <c r="H43" s="27" cm="1">
        <f t="array" aca="1" ref="H43" ca="1">_FV(A43,"52 week low",TRUE)</f>
        <v>55.85</v>
      </c>
      <c r="I43" s="28" cm="1">
        <f t="array" aca="1" ref="I43" ca="1">_FV(A43,"Volume")</f>
        <v>8638209</v>
      </c>
      <c r="J43" s="27" t="str" cm="1">
        <f t="array" aca="1" ref="J43" ca="1">_FV(Table13[[#This Row],[Company]],"Headquarters")</f>
        <v>2211 N 1st St, SAN JOSE, CA, 95131 US</v>
      </c>
      <c r="K43" cm="1">
        <f t="array" aca="1" ref="K43" ca="1">_FV(Table13[[#This Row],[Company]],"Year incorporated",TRUE)</f>
        <v>2015</v>
      </c>
      <c r="L43" s="27"/>
      <c r="M43" s="61" t="b">
        <v>0</v>
      </c>
    </row>
    <row r="44" spans="1:13" x14ac:dyDescent="0.2">
      <c r="A44" t="e" vm="28">
        <v>#VALUE!</v>
      </c>
      <c r="B44" s="27" t="str" cm="1">
        <f t="array" aca="1" ref="B44" ca="1">_FV(A44,"Ticker symbol",TRUE)</f>
        <v>NXT</v>
      </c>
      <c r="C44" s="27" t="str" cm="1">
        <f t="array" aca="1" ref="C44" ca="1">_FV(A44,"Industry")</f>
        <v>Renewable Energy</v>
      </c>
      <c r="D44" s="27" cm="1">
        <f t="array" aca="1" ref="D44" ca="1">_FV(A44,"Market cap",TRUE)</f>
        <v>12954250000</v>
      </c>
      <c r="E44" s="27" cm="1">
        <f t="array" aca="1" ref="E44" ca="1">_FV(A44,"Price")</f>
        <v>98.28</v>
      </c>
      <c r="F44" s="13" cm="1">
        <f t="array" aca="1" ref="F44" ca="1">_FV(A44,"Change (%)",TRUE)</f>
        <v>8.7409000000000001E-2</v>
      </c>
      <c r="G44" s="27" cm="1">
        <f t="array" aca="1" ref="G44" ca="1">_FV(A44,"52 week high",TRUE)</f>
        <v>101.98</v>
      </c>
      <c r="H44" s="27" cm="1">
        <f t="array" aca="1" ref="H44" ca="1">_FV(A44,"52 week low",TRUE)</f>
        <v>31.18</v>
      </c>
      <c r="I44" s="28" cm="1">
        <f t="array" aca="1" ref="I44" ca="1">_FV(A44,"Volume")</f>
        <v>5184028</v>
      </c>
      <c r="J44" s="27" t="str" cm="1">
        <f t="array" aca="1" ref="J44" ca="1">_FV(Table13[[#This Row],[Company]],"Headquarters")</f>
        <v>6200 Paseo Padre Pkwy, FREMONT, CA, 94555 US</v>
      </c>
      <c r="K44" cm="1">
        <f t="array" aca="1" ref="K44" ca="1">_FV(Table13[[#This Row],[Company]],"Year incorporated",TRUE)</f>
        <v>2022</v>
      </c>
      <c r="L44" s="27"/>
      <c r="M44" s="61" t="b">
        <v>0</v>
      </c>
    </row>
    <row r="45" spans="1:13" x14ac:dyDescent="0.2">
      <c r="A45" t="e" vm="29">
        <v>#VALUE!</v>
      </c>
      <c r="B45" s="27" t="str" cm="1">
        <f t="array" aca="1" ref="B45" ca="1">_FV(A45,"Ticker symbol",TRUE)</f>
        <v>MU</v>
      </c>
      <c r="C45" s="27" t="str" cm="1">
        <f t="array" aca="1" ref="C45" ca="1">_FV(A45,"Industry")</f>
        <v>Semiconductors &amp; Semiconductor Equipment</v>
      </c>
      <c r="D45" s="27" cm="1">
        <f t="array" aca="1" ref="D45" ca="1">_FV(A45,"Market cap",TRUE)</f>
        <v>222775800000</v>
      </c>
      <c r="E45" s="27" cm="1">
        <f t="array" aca="1" ref="E45" ca="1">_FV(A45,"Price")</f>
        <v>219.02</v>
      </c>
      <c r="F45" s="13" cm="1">
        <f t="array" aca="1" ref="F45" ca="1">_FV(A45,"Change (%)",TRUE)</f>
        <v>5.9551999999999994E-2</v>
      </c>
      <c r="G45" s="27" cm="1">
        <f t="array" aca="1" ref="G45" ca="1">_FV(A45,"52 week high",TRUE)</f>
        <v>219.82</v>
      </c>
      <c r="H45" s="27" cm="1">
        <f t="array" aca="1" ref="H45" ca="1">_FV(A45,"52 week low",TRUE)</f>
        <v>61.54</v>
      </c>
      <c r="I45" s="28" cm="1">
        <f t="array" aca="1" ref="I45" ca="1">_FV(A45,"Volume")</f>
        <v>25821756</v>
      </c>
      <c r="J45" s="27" t="str" cm="1">
        <f t="array" aca="1" ref="J45" ca="1">_FV(Table13[[#This Row],[Company]],"Headquarters")</f>
        <v>8000 S Federal Way, Po Box 6, BOISE, ID, 83716-9632 US</v>
      </c>
      <c r="K45" cm="1">
        <f t="array" aca="1" ref="K45" ca="1">_FV(Table13[[#This Row],[Company]],"Year incorporated",TRUE)</f>
        <v>1984</v>
      </c>
      <c r="L45" s="27"/>
      <c r="M45" s="61" t="b">
        <v>0</v>
      </c>
    </row>
    <row r="46" spans="1:13" x14ac:dyDescent="0.2">
      <c r="A46" t="e" vm="30">
        <v>#VALUE!</v>
      </c>
      <c r="B46" s="27" t="str" cm="1">
        <f t="array" aca="1" ref="B46" ca="1">_FV(A46,"Ticker symbol",TRUE)</f>
        <v>QCOM</v>
      </c>
      <c r="C46" s="27" t="str" cm="1">
        <f t="array" aca="1" ref="C46" ca="1">_FV(A46,"Industry")</f>
        <v>Semiconductors &amp; Semiconductor Equipment</v>
      </c>
      <c r="D46" s="27" cm="1">
        <f t="array" aca="1" ref="D46" ca="1">_FV(A46,"Market cap",TRUE)</f>
        <v>182439200000</v>
      </c>
      <c r="E46" s="27" cm="1">
        <f t="array" aca="1" ref="E46" ca="1">_FV(A46,"Price")</f>
        <v>168.94</v>
      </c>
      <c r="F46" s="13" cm="1">
        <f t="array" aca="1" ref="F46" ca="1">_FV(A46,"Change (%)",TRUE)</f>
        <v>-6.411E-3</v>
      </c>
      <c r="G46" s="27" cm="1">
        <f t="array" aca="1" ref="G46" ca="1">_FV(A46,"52 week high",TRUE)</f>
        <v>182.1</v>
      </c>
      <c r="H46" s="27" cm="1">
        <f t="array" aca="1" ref="H46" ca="1">_FV(A46,"52 week low",TRUE)</f>
        <v>120.8019</v>
      </c>
      <c r="I46" s="28" cm="1">
        <f t="array" aca="1" ref="I46" ca="1">_FV(A46,"Volume")</f>
        <v>6255987</v>
      </c>
      <c r="J46" s="27" t="str" cm="1">
        <f t="array" aca="1" ref="J46" ca="1">_FV(Table13[[#This Row],[Company]],"Headquarters")</f>
        <v>5775 Morehouse Drive, SAN DIEGO, CA, 92121 US</v>
      </c>
      <c r="K46" cm="1">
        <f t="array" aca="1" ref="K46" ca="1">_FV(Table13[[#This Row],[Company]],"Year incorporated",TRUE)</f>
        <v>1991</v>
      </c>
      <c r="L46" s="27"/>
      <c r="M46" s="61" t="b">
        <v>0</v>
      </c>
    </row>
    <row r="47" spans="1:13" x14ac:dyDescent="0.2">
      <c r="A47" t="e" vm="31">
        <v>#VALUE!</v>
      </c>
      <c r="B47" s="27" t="str" cm="1">
        <f t="array" aca="1" ref="B47" ca="1">_FV(A47,"Ticker symbol",TRUE)</f>
        <v>ACLS</v>
      </c>
      <c r="C47" s="27" t="str" cm="1">
        <f t="array" aca="1" ref="C47" ca="1">_FV(A47,"Industry")</f>
        <v>Semiconductors &amp; Semiconductor Equipment</v>
      </c>
      <c r="D47" s="27" cm="1">
        <f t="array" aca="1" ref="D47" ca="1">_FV(A47,"Market cap",TRUE)</f>
        <v>2523201000</v>
      </c>
      <c r="E47" s="27" cm="1">
        <f t="array" aca="1" ref="E47" ca="1">_FV(A47,"Price")</f>
        <v>83.31</v>
      </c>
      <c r="F47" s="13" cm="1">
        <f t="array" aca="1" ref="F47" ca="1">_FV(A47,"Change (%)",TRUE)</f>
        <v>-1.2447E-2</v>
      </c>
      <c r="G47" s="27" cm="1">
        <f t="array" aca="1" ref="G47" ca="1">_FV(A47,"52 week high",TRUE)</f>
        <v>102.93</v>
      </c>
      <c r="H47" s="27" cm="1">
        <f t="array" aca="1" ref="H47" ca="1">_FV(A47,"52 week low",TRUE)</f>
        <v>40.4</v>
      </c>
      <c r="I47" s="28" cm="1">
        <f t="array" aca="1" ref="I47" ca="1">_FV(A47,"Volume")</f>
        <v>359678</v>
      </c>
      <c r="J47" s="27" t="str" cm="1">
        <f t="array" aca="1" ref="J47" ca="1">_FV(Table13[[#This Row],[Company]],"Headquarters")</f>
        <v>108 Cherry Hill Dr, BEVERLY, MA, 01915 US</v>
      </c>
      <c r="K47" cm="1">
        <f t="array" aca="1" ref="K47" ca="1">_FV(Table13[[#This Row],[Company]],"Year incorporated",TRUE)</f>
        <v>1995</v>
      </c>
      <c r="L47" s="27"/>
      <c r="M47" s="61" t="b">
        <v>0</v>
      </c>
    </row>
    <row r="48" spans="1:13" x14ac:dyDescent="0.2">
      <c r="A48" t="e" vm="32">
        <v>#VALUE!</v>
      </c>
      <c r="B48" s="27" t="str" cm="1">
        <f t="array" aca="1" ref="B48" ca="1">_FV(A48,"Ticker symbol",TRUE)</f>
        <v>TER</v>
      </c>
      <c r="C48" s="27" t="str" cm="1">
        <f t="array" aca="1" ref="C48" ca="1">_FV(A48,"Industry")</f>
        <v>Semiconductors &amp; Semiconductor Equipment</v>
      </c>
      <c r="D48" s="27" cm="1">
        <f t="array" aca="1" ref="D48" ca="1">_FV(A48,"Market cap",TRUE)</f>
        <v>22085770000</v>
      </c>
      <c r="E48" s="27" cm="1">
        <f t="array" aca="1" ref="E48" ca="1">_FV(A48,"Price")</f>
        <v>144.28</v>
      </c>
      <c r="F48" s="13" cm="1">
        <f t="array" aca="1" ref="F48" ca="1">_FV(A48,"Change (%)",TRUE)</f>
        <v>-5.2399999999999999E-3</v>
      </c>
      <c r="G48" s="27" cm="1">
        <f t="array" aca="1" ref="G48" ca="1">_FV(A48,"52 week high",TRUE)</f>
        <v>150.71</v>
      </c>
      <c r="H48" s="27" cm="1">
        <f t="array" aca="1" ref="H48" ca="1">_FV(A48,"52 week low",TRUE)</f>
        <v>65.77</v>
      </c>
      <c r="I48" s="28" cm="1">
        <f t="array" aca="1" ref="I48" ca="1">_FV(A48,"Volume")</f>
        <v>2079994</v>
      </c>
      <c r="J48" s="27" t="str" cm="1">
        <f t="array" aca="1" ref="J48" ca="1">_FV(Table13[[#This Row],[Company]],"Headquarters")</f>
        <v>600 Riverpark Dr, NORTH READING, MA, 01864-2634 US</v>
      </c>
      <c r="K48" cm="1">
        <f t="array" aca="1" ref="K48" ca="1">_FV(Table13[[#This Row],[Company]],"Year incorporated",TRUE)</f>
        <v>1960</v>
      </c>
      <c r="L48" s="27"/>
      <c r="M48" s="61" t="b">
        <v>0</v>
      </c>
    </row>
    <row r="49" spans="1:13" x14ac:dyDescent="0.2">
      <c r="A49" t="e" vm="33">
        <v>#VALUE!</v>
      </c>
      <c r="B49" s="27" t="str" cm="1">
        <f t="array" aca="1" ref="B49" ca="1">_FV(A49,"Ticker symbol",TRUE)</f>
        <v>ADBE</v>
      </c>
      <c r="C49" s="27" t="str" cm="1">
        <f t="array" aca="1" ref="C49" ca="1">_FV(A49,"Industry")</f>
        <v>Software &amp; IT Services</v>
      </c>
      <c r="D49" s="27" cm="1">
        <f t="array" aca="1" ref="D49" ca="1">_FV(A49,"Market cap",TRUE)</f>
        <v>148222100000</v>
      </c>
      <c r="E49" s="27" cm="1">
        <f t="array" aca="1" ref="E49" ca="1">_FV(A49,"Price")</f>
        <v>353.52</v>
      </c>
      <c r="F49" s="13" cm="1">
        <f t="array" aca="1" ref="F49" ca="1">_FV(A49,"Change (%)",TRUE)</f>
        <v>-1.694E-3</v>
      </c>
      <c r="G49" s="27" cm="1">
        <f t="array" aca="1" ref="G49" ca="1">_FV(A49,"52 week high",TRUE)</f>
        <v>557.8999</v>
      </c>
      <c r="H49" s="27" cm="1">
        <f t="array" aca="1" ref="H49" ca="1">_FV(A49,"52 week low",TRUE)</f>
        <v>327.5</v>
      </c>
      <c r="I49" s="28" cm="1">
        <f t="array" aca="1" ref="I49" ca="1">_FV(A49,"Volume")</f>
        <v>2016850</v>
      </c>
      <c r="J49" s="27" t="str" cm="1">
        <f t="array" aca="1" ref="J49" ca="1">_FV(Table13[[#This Row],[Company]],"Headquarters")</f>
        <v>345 Park Avenue, SAN JOSE, CA, 95110-2704 US</v>
      </c>
      <c r="K49" cm="1">
        <f t="array" aca="1" ref="K49" ca="1">_FV(Table13[[#This Row],[Company]],"Year incorporated",TRUE)</f>
        <v>1997</v>
      </c>
      <c r="L49" s="27"/>
      <c r="M49" s="61" t="b">
        <v>0</v>
      </c>
    </row>
    <row r="50" spans="1:13" x14ac:dyDescent="0.2">
      <c r="A50" t="e" vm="34">
        <v>#VALUE!</v>
      </c>
      <c r="B50" s="27" t="str" cm="1">
        <f t="array" aca="1" ref="B50" ca="1">_FV(A50,"Ticker symbol",TRUE)</f>
        <v>GOOGL</v>
      </c>
      <c r="C50" s="27" t="str" cm="1">
        <f t="array" aca="1" ref="C50" ca="1">_FV(A50,"Industry")</f>
        <v>Software &amp; IT Services</v>
      </c>
      <c r="D50" s="27" cm="1">
        <f t="array" aca="1" ref="D50" ca="1">_FV(A50,"Market cap",TRUE)</f>
        <v>3048500000000</v>
      </c>
      <c r="E50" s="27" cm="1">
        <f t="array" aca="1" ref="E50" ca="1">_FV(A50,"Price")</f>
        <v>259.92</v>
      </c>
      <c r="F50" s="13" cm="1">
        <f t="array" aca="1" ref="F50" ca="1">_FV(A50,"Change (%)",TRUE)</f>
        <v>2.7027000000000002E-2</v>
      </c>
      <c r="G50" s="27" cm="1">
        <f t="array" aca="1" ref="G50" ca="1">_FV(A50,"52 week high",TRUE)</f>
        <v>261.68</v>
      </c>
      <c r="H50" s="27" cm="1">
        <f t="array" aca="1" ref="H50" ca="1">_FV(A50,"52 week low",TRUE)</f>
        <v>140.53</v>
      </c>
      <c r="I50" s="28" cm="1">
        <f t="array" aca="1" ref="I50" ca="1">_FV(A50,"Volume")</f>
        <v>28655126</v>
      </c>
      <c r="J50" s="27" t="str" cm="1">
        <f t="array" aca="1" ref="J50" ca="1">_FV(Table13[[#This Row],[Company]],"Headquarters")</f>
        <v>1600 Amphitheatre Parkway, MOUNTAIN VIEW, CA, 94043 US</v>
      </c>
      <c r="K50" cm="1">
        <f t="array" aca="1" ref="K50" ca="1">_FV(Table13[[#This Row],[Company]],"Year incorporated",TRUE)</f>
        <v>2015</v>
      </c>
      <c r="L50" s="27"/>
      <c r="M50" s="61" t="b">
        <v>0</v>
      </c>
    </row>
    <row r="51" spans="1:13" x14ac:dyDescent="0.2">
      <c r="A51" t="e" vm="35">
        <v>#VALUE!</v>
      </c>
      <c r="B51" s="27" t="str" cm="1">
        <f t="array" aca="1" ref="B51" ca="1">_FV(A51,"Ticker symbol",TRUE)</f>
        <v>ALAR</v>
      </c>
      <c r="C51" s="27" t="str" cm="1">
        <f t="array" aca="1" ref="C51" ca="1">_FV(A51,"Industry")</f>
        <v>Software &amp; IT Services</v>
      </c>
      <c r="D51" s="27" cm="1">
        <f t="array" aca="1" ref="D51" ca="1">_FV(A51,"Market cap",TRUE)</f>
        <v>339209800</v>
      </c>
      <c r="E51" s="27" cm="1">
        <f t="array" aca="1" ref="E51" ca="1">_FV(A51,"Price")</f>
        <v>465.8</v>
      </c>
      <c r="F51" s="13" cm="1">
        <f t="array" aca="1" ref="F51" ca="1">_FV(A51,"Change (%)",TRUE)</f>
        <v>-4.7010000000000003E-3</v>
      </c>
      <c r="G51" s="27" cm="1">
        <f t="array" aca="1" ref="G51" ca="1">_FV(A51,"52 week high",TRUE)</f>
        <v>1730</v>
      </c>
      <c r="H51" s="27" cm="1">
        <f t="array" aca="1" ref="H51" ca="1">_FV(A51,"52 week low",TRUE)</f>
        <v>8</v>
      </c>
      <c r="I51" s="28" cm="1">
        <f t="array" aca="1" ref="I51" ca="1">_FV(A51,"Volume")</f>
        <v>87037</v>
      </c>
      <c r="J51" s="27" t="str" cm="1">
        <f t="array" aca="1" ref="J51" ca="1">_FV(Table13[[#This Row],[Company]],"Headquarters")</f>
        <v>30 Haarba'a, P.O.Box 174, HERZLIYA, 6473926 IL</v>
      </c>
      <c r="K51" cm="1">
        <f t="array" aca="1" ref="K51" ca="1">_FV(Table13[[#This Row],[Company]],"Year incorporated",TRUE)</f>
        <v>1989</v>
      </c>
      <c r="L51" s="27"/>
      <c r="M51" s="61" t="b">
        <v>0</v>
      </c>
    </row>
    <row r="52" spans="1:13" x14ac:dyDescent="0.2">
      <c r="A52" t="e" vm="36">
        <v>#VALUE!</v>
      </c>
      <c r="B52" s="27" t="str" cm="1">
        <f t="array" aca="1" ref="B52" ca="1">_FV(A52,"Ticker symbol",TRUE)</f>
        <v>GCT</v>
      </c>
      <c r="C52" s="27" t="str" cm="1">
        <f t="array" aca="1" ref="C52" ca="1">_FV(A52,"Industry")</f>
        <v>Software &amp; IT Services</v>
      </c>
      <c r="D52" s="27" cm="1">
        <f t="array" aca="1" ref="D52" ca="1">_FV(A52,"Market cap",TRUE)</f>
        <v>1017360000</v>
      </c>
      <c r="E52" s="27" cm="1">
        <f t="array" aca="1" ref="E52" ca="1">_FV(A52,"Price")</f>
        <v>28.34</v>
      </c>
      <c r="F52" s="13" cm="1">
        <f t="array" aca="1" ref="F52" ca="1">_FV(A52,"Change (%)",TRUE)</f>
        <v>1.9791E-2</v>
      </c>
      <c r="G52" s="27" cm="1">
        <f t="array" aca="1" ref="G52" ca="1">_FV(A52,"52 week high",TRUE)</f>
        <v>34.5</v>
      </c>
      <c r="H52" s="27" cm="1">
        <f t="array" aca="1" ref="H52" ca="1">_FV(A52,"52 week low",TRUE)</f>
        <v>11.17</v>
      </c>
      <c r="I52" s="28" cm="1">
        <f t="array" aca="1" ref="I52" ca="1">_FV(A52,"Volume")</f>
        <v>717861</v>
      </c>
      <c r="J52" s="27" t="str" cm="1">
        <f t="array" aca="1" ref="J52" ca="1">_FV(Table13[[#This Row],[Company]],"Headquarters")</f>
        <v>4388 Shirley Avenue, EL MONTE, CA, 91731 US</v>
      </c>
      <c r="K52" cm="1">
        <f t="array" aca="1" ref="K52" ca="1">_FV(Table13[[#This Row],[Company]],"Year incorporated",TRUE)</f>
        <v>2006</v>
      </c>
      <c r="L52" s="27"/>
      <c r="M52" s="61" t="b">
        <v>0</v>
      </c>
    </row>
    <row r="53" spans="1:13" x14ac:dyDescent="0.2">
      <c r="A53" t="e" vm="37">
        <v>#VALUE!</v>
      </c>
      <c r="B53" s="27" t="str" cm="1">
        <f t="array" aca="1" ref="B53" ca="1">_FV(A53,"Ticker symbol",TRUE)</f>
        <v>PTC</v>
      </c>
      <c r="C53" s="27" t="str" cm="1">
        <f t="array" aca="1" ref="C53" ca="1">_FV(A53,"Industry")</f>
        <v>Software &amp; IT Services</v>
      </c>
      <c r="D53" s="27" cm="1">
        <f t="array" aca="1" ref="D53" ca="1">_FV(A53,"Market cap",TRUE)</f>
        <v>24321510000</v>
      </c>
      <c r="E53" s="27" cm="1">
        <f t="array" aca="1" ref="E53" ca="1">_FV(A53,"Price")</f>
        <v>204.81</v>
      </c>
      <c r="F53" s="13" cm="1">
        <f t="array" aca="1" ref="F53" ca="1">_FV(A53,"Change (%)",TRUE)</f>
        <v>6.8400000000000004E-4</v>
      </c>
      <c r="G53" s="27" cm="1">
        <f t="array" aca="1" ref="G53" ca="1">_FV(A53,"52 week high",TRUE)</f>
        <v>219.69</v>
      </c>
      <c r="H53" s="27" cm="1">
        <f t="array" aca="1" ref="H53" ca="1">_FV(A53,"52 week low",TRUE)</f>
        <v>133.38</v>
      </c>
      <c r="I53" s="28" cm="1">
        <f t="array" aca="1" ref="I53" ca="1">_FV(A53,"Volume")</f>
        <v>534074</v>
      </c>
      <c r="J53" s="27" t="str" cm="1">
        <f t="array" aca="1" ref="J53" ca="1">_FV(Table13[[#This Row],[Company]],"Headquarters")</f>
        <v>121 Seaport Blvd., BOSTON, MA, 02210 US</v>
      </c>
      <c r="K53" cm="1">
        <f t="array" aca="1" ref="K53" ca="1">_FV(Table13[[#This Row],[Company]],"Year incorporated",TRUE)</f>
        <v>1985</v>
      </c>
      <c r="L53" s="27"/>
      <c r="M53" s="61" t="b">
        <v>0</v>
      </c>
    </row>
    <row r="54" spans="1:13" x14ac:dyDescent="0.2">
      <c r="A54" t="e" vm="38">
        <v>#VALUE!</v>
      </c>
      <c r="B54" s="27" t="str" cm="1">
        <f t="array" aca="1" ref="B54" ca="1">_FV(A54,"Ticker symbol",TRUE)</f>
        <v>ANF</v>
      </c>
      <c r="C54" s="27" t="str" cm="1">
        <f t="array" aca="1" ref="C54" ca="1">_FV(A54,"Industry")</f>
        <v>Specialty Retailers</v>
      </c>
      <c r="D54" s="27" cm="1">
        <f t="array" aca="1" ref="D54" ca="1">_FV(A54,"Market cap",TRUE)</f>
        <v>3219105000</v>
      </c>
      <c r="E54" s="27" cm="1">
        <f t="array" aca="1" ref="E54" ca="1">_FV(A54,"Price")</f>
        <v>70.459999999999994</v>
      </c>
      <c r="F54" s="13" cm="1">
        <f t="array" aca="1" ref="F54" ca="1">_FV(A54,"Change (%)",TRUE)</f>
        <v>1.2211000000000001E-2</v>
      </c>
      <c r="G54" s="27" cm="1">
        <f t="array" aca="1" ref="G54" ca="1">_FV(A54,"52 week high",TRUE)</f>
        <v>164.8</v>
      </c>
      <c r="H54" s="27" cm="1">
        <f t="array" aca="1" ref="H54" ca="1">_FV(A54,"52 week low",TRUE)</f>
        <v>65.400000000000006</v>
      </c>
      <c r="I54" s="28" cm="1">
        <f t="array" aca="1" ref="I54" ca="1">_FV(A54,"Volume")</f>
        <v>1702951</v>
      </c>
      <c r="J54" s="27" t="str" cm="1">
        <f t="array" aca="1" ref="J54" ca="1">_FV(Table13[[#This Row],[Company]],"Headquarters")</f>
        <v>6301 Fitch Path, NEW ALBANY, OH, 43054 US</v>
      </c>
      <c r="K54" cm="1">
        <f t="array" aca="1" ref="K54" ca="1">_FV(Table13[[#This Row],[Company]],"Year incorporated",TRUE)</f>
        <v>1996</v>
      </c>
      <c r="L54" s="27"/>
      <c r="M54" s="61" t="b">
        <v>0</v>
      </c>
    </row>
    <row r="55" spans="1:13" x14ac:dyDescent="0.2">
      <c r="A55" t="e" vm="39">
        <v>#VALUE!</v>
      </c>
      <c r="B55" s="27" t="str" cm="1">
        <f t="array" aca="1" ref="B55" ca="1">_FV(A55,"Ticker symbol",TRUE)</f>
        <v>CMCSA</v>
      </c>
      <c r="C55" s="27" t="str" cm="1">
        <f t="array" aca="1" ref="C55" ca="1">_FV(A55,"Industry")</f>
        <v>Telecommunications Services</v>
      </c>
      <c r="D55" s="27" cm="1">
        <f t="array" aca="1" ref="D55" ca="1">_FV(A55,"Market cap",TRUE)</f>
        <v>108550900000</v>
      </c>
      <c r="E55" s="27" cm="1">
        <f t="array" aca="1" ref="E55" ca="1">_FV(A55,"Price")</f>
        <v>29.28</v>
      </c>
      <c r="F55" s="13" cm="1">
        <f t="array" aca="1" ref="F55" ca="1">_FV(A55,"Change (%)",TRUE)</f>
        <v>-6.826E-4</v>
      </c>
      <c r="G55" s="27" cm="1">
        <f t="array" aca="1" ref="G55" ca="1">_FV(A55,"52 week high",TRUE)</f>
        <v>45.31</v>
      </c>
      <c r="H55" s="27" cm="1">
        <f t="array" aca="1" ref="H55" ca="1">_FV(A55,"52 week low",TRUE)</f>
        <v>29.15</v>
      </c>
      <c r="I55" s="28" cm="1">
        <f t="array" aca="1" ref="I55" ca="1">_FV(A55,"Volume")</f>
        <v>18001536</v>
      </c>
      <c r="J55" s="27" t="str" cm="1">
        <f t="array" aca="1" ref="J55" ca="1">_FV(Table13[[#This Row],[Company]],"Headquarters")</f>
        <v>One Comcast Center, PHILADELPHIA, PA, 19103-2838 US</v>
      </c>
      <c r="K55" cm="1">
        <f t="array" aca="1" ref="K55" ca="1">_FV(Table13[[#This Row],[Company]],"Year incorporated",TRUE)</f>
        <v>2001</v>
      </c>
      <c r="L55" s="27"/>
      <c r="M55" s="61" t="b">
        <v>0</v>
      </c>
    </row>
    <row r="56" spans="1:13" x14ac:dyDescent="0.2">
      <c r="A56" t="e" vm="40">
        <v>#VALUE!</v>
      </c>
      <c r="B56" s="27" t="str" cm="1">
        <f t="array" aca="1" ref="B56" ca="1">_FV(A56,"Ticker symbol",TRUE)</f>
        <v>NKE</v>
      </c>
      <c r="C56" s="27" t="str" cm="1">
        <f t="array" aca="1" ref="C56" ca="1">_FV(A56,"Industry")</f>
        <v>Textiles &amp; Apparel</v>
      </c>
      <c r="D56" s="27" cm="1">
        <f t="array" aca="1" ref="D56" ca="1">_FV(A56,"Market cap",TRUE)</f>
        <v>101049800000</v>
      </c>
      <c r="E56" s="27" cm="1">
        <f t="array" aca="1" ref="E56" ca="1">_FV(A56,"Price")</f>
        <v>59.73</v>
      </c>
      <c r="F56" s="13" cm="1">
        <f t="array" aca="1" ref="F56" ca="1">_FV(A56,"Change (%)",TRUE)</f>
        <v>-2.3380000000000002E-3</v>
      </c>
      <c r="G56" s="27" t="e" cm="1" vm="41">
        <f t="array" ref="G56">_FV(A56,"52 week high",TRUE)</f>
        <v>#VALUE!</v>
      </c>
      <c r="H56" s="27" t="e" cm="1" vm="42">
        <f t="array" ref="H56">_FV(A56,"52 week low",TRUE)</f>
        <v>#VALUE!</v>
      </c>
      <c r="I56" s="28" cm="1">
        <f t="array" aca="1" ref="I56" ca="1">_FV(A56,"Volume")</f>
        <v>6137</v>
      </c>
      <c r="J56" s="27" t="str" cm="1">
        <f t="array" aca="1" ref="J56" ca="1">_FV(Table13[[#This Row],[Company]],"Headquarters")</f>
        <v>One Bowerman Dr, BEAVERTON, OR, 97005-6453 US</v>
      </c>
      <c r="K56" cm="1">
        <f t="array" aca="1" ref="K56" ca="1">_FV(Table13[[#This Row],[Company]],"Year incorporated",TRUE)</f>
        <v>1969</v>
      </c>
      <c r="L56" s="27"/>
      <c r="M56" s="61" t="b">
        <v>0</v>
      </c>
    </row>
    <row r="57" spans="1:13" x14ac:dyDescent="0.2">
      <c r="A57" t="e" vm="43">
        <v>#VALUE!</v>
      </c>
      <c r="B57" s="27" t="str" cm="1">
        <f t="array" aca="1" ref="B57" ca="1">_FV(A57,"Ticker symbol",TRUE)</f>
        <v>GIII</v>
      </c>
      <c r="C57" s="27" t="str" cm="1">
        <f t="array" aca="1" ref="C57" ca="1">_FV(A57,"Industry")</f>
        <v>Textiles &amp; Apparel</v>
      </c>
      <c r="D57" s="27" cm="1">
        <f t="array" aca="1" ref="D57" ca="1">_FV(A57,"Market cap",TRUE)</f>
        <v>1183722000</v>
      </c>
      <c r="E57" s="27" cm="1">
        <f t="array" aca="1" ref="E57" ca="1">_FV(A57,"Price")</f>
        <v>28.26</v>
      </c>
      <c r="F57" s="13" cm="1">
        <f t="array" aca="1" ref="F57" ca="1">_FV(A57,"Change (%)",TRUE)</f>
        <v>-6.3290000000000004E-3</v>
      </c>
      <c r="G57" s="27" cm="1">
        <f t="array" aca="1" ref="G57" ca="1">_FV(A57,"52 week high",TRUE)</f>
        <v>36.18</v>
      </c>
      <c r="H57" s="27" cm="1">
        <f t="array" aca="1" ref="H57" ca="1">_FV(A57,"52 week low",TRUE)</f>
        <v>20.329999999999998</v>
      </c>
      <c r="I57" s="28" cm="1">
        <f t="array" aca="1" ref="I57" ca="1">_FV(A57,"Volume")</f>
        <v>259627</v>
      </c>
      <c r="J57" s="27" t="str" cm="1">
        <f t="array" aca="1" ref="J57" ca="1">_FV(Table13[[#This Row],[Company]],"Headquarters")</f>
        <v>512 7th Avenue, NEW YORK, NY, 10018 US</v>
      </c>
      <c r="K57" cm="1">
        <f t="array" aca="1" ref="K57" ca="1">_FV(Table13[[#This Row],[Company]],"Year incorporated",TRUE)</f>
        <v>1989</v>
      </c>
      <c r="L57" s="27"/>
      <c r="M57" s="61" t="b">
        <v>0</v>
      </c>
    </row>
    <row r="58" spans="1:13" x14ac:dyDescent="0.2">
      <c r="A58" t="e" vm="44">
        <v>#VALUE!</v>
      </c>
      <c r="B58" s="27" t="str" cm="1">
        <f t="array" aca="1" ref="B58" ca="1">_FV(A58,"Ticker symbol",TRUE)</f>
        <v>CROX</v>
      </c>
      <c r="C58" s="27" t="str" cm="1">
        <f t="array" aca="1" ref="C58" ca="1">_FV(A58,"Industry")</f>
        <v>Textiles &amp; Apparel</v>
      </c>
      <c r="D58" s="27" cm="1">
        <f t="array" aca="1" ref="D58" ca="1">_FV(A58,"Market cap",TRUE)</f>
        <v>4558911000</v>
      </c>
      <c r="E58" s="27" cm="1">
        <f t="array" aca="1" ref="E58" ca="1">_FV(A58,"Price")</f>
        <v>82.82</v>
      </c>
      <c r="F58" s="13" cm="1">
        <f t="array" aca="1" ref="F58" ca="1">_FV(A58,"Change (%)",TRUE)</f>
        <v>-2.7362999999999998E-2</v>
      </c>
      <c r="G58" s="27" cm="1">
        <f t="array" aca="1" ref="G58" ca="1">_FV(A58,"52 week high",TRUE)</f>
        <v>139.96</v>
      </c>
      <c r="H58" s="27" cm="1">
        <f t="array" aca="1" ref="H58" ca="1">_FV(A58,"52 week low",TRUE)</f>
        <v>73.759500000000003</v>
      </c>
      <c r="I58" s="28" cm="1">
        <f t="array" aca="1" ref="I58" ca="1">_FV(A58,"Volume")</f>
        <v>1250031</v>
      </c>
      <c r="J58" s="27" t="str" cm="1">
        <f t="array" aca="1" ref="J58" ca="1">_FV(Table13[[#This Row],[Company]],"Headquarters")</f>
        <v>500 Eldorado Boulevard, Building 5, BROOMFIELD, CO, 80021 US</v>
      </c>
      <c r="K58" cm="1">
        <f t="array" aca="1" ref="K58" ca="1">_FV(Table13[[#This Row],[Company]],"Year incorporated",TRUE)</f>
        <v>2005</v>
      </c>
      <c r="L58" s="27"/>
      <c r="M58" s="61" t="b">
        <v>0</v>
      </c>
    </row>
    <row r="59" spans="1:13" x14ac:dyDescent="0.2">
      <c r="A59" t="e" vm="45">
        <v>#VALUE!</v>
      </c>
      <c r="B59" s="27" t="str" cm="1">
        <f t="array" aca="1" ref="B59" ca="1">_FV(A59,"Ticker symbol",TRUE)</f>
        <v>EL</v>
      </c>
      <c r="C59" s="27" t="str" cm="1">
        <f t="array" aca="1" ref="C59" ca="1">_FV(A59,"Industry")</f>
        <v>Personal &amp; Household Products &amp; Services</v>
      </c>
      <c r="D59" s="27" cm="1">
        <f t="array" aca="1" ref="D59" ca="1">_FV(A59,"Market cap",TRUE)</f>
        <v>35542020000</v>
      </c>
      <c r="E59" s="27" cm="1">
        <f t="array" aca="1" ref="E59" ca="1">_FV(A59,"Price")</f>
        <v>102.16</v>
      </c>
      <c r="F59" s="13" cm="1">
        <f t="array" aca="1" ref="F59" ca="1">_FV(A59,"Change (%)",TRUE)</f>
        <v>2.6837E-2</v>
      </c>
      <c r="G59" s="27" cm="1">
        <f t="array" aca="1" ref="G59" ca="1">_FV(A59,"52 week high",TRUE)</f>
        <v>104.53</v>
      </c>
      <c r="H59" s="27" cm="1">
        <f t="array" aca="1" ref="H59" ca="1">_FV(A59,"52 week low",TRUE)</f>
        <v>48.370100000000001</v>
      </c>
      <c r="I59" s="28" cm="1">
        <f t="array" aca="1" ref="I59" ca="1">_FV(A59,"Volume")</f>
        <v>2706205</v>
      </c>
      <c r="J59" s="27" t="str" cm="1">
        <f t="array" aca="1" ref="J59" ca="1">_FV(Table13[[#This Row],[Company]],"Headquarters")</f>
        <v>767 Fifth Avenue, NEW YORK, NY, 10153 US</v>
      </c>
      <c r="K59" cm="1">
        <f t="array" aca="1" ref="K59" ca="1">_FV(Table13[[#This Row],[Company]],"Year incorporated",TRUE)</f>
        <v>1976</v>
      </c>
      <c r="L59" s="27"/>
      <c r="M59" s="61" t="b">
        <v>0</v>
      </c>
    </row>
    <row r="60" spans="1:13" x14ac:dyDescent="0.2">
      <c r="A60" t="e" vm="46">
        <v>#VALUE!</v>
      </c>
      <c r="B60" s="27" t="str" cm="1">
        <f t="array" aca="1" ref="B60" ca="1">_FV(A60,"Ticker symbol",TRUE)</f>
        <v>NICE</v>
      </c>
      <c r="C60" s="27" t="str" cm="1">
        <f t="array" aca="1" ref="C60" ca="1">_FV(A60,"Industry")</f>
        <v>Software &amp; IT Services</v>
      </c>
      <c r="D60" s="27" cm="1">
        <f t="array" aca="1" ref="D60" ca="1">_FV(A60,"Market cap",TRUE)</f>
        <v>27290620000</v>
      </c>
      <c r="E60" s="27" cm="1">
        <f t="array" aca="1" ref="E60" ca="1">_FV(A60,"Price")</f>
        <v>43550</v>
      </c>
      <c r="F60" s="13" cm="1">
        <f t="array" aca="1" ref="F60" ca="1">_FV(A60,"Change (%)",TRUE)</f>
        <v>-9.1009999999999997E-3</v>
      </c>
      <c r="G60" s="27" cm="1">
        <f t="array" aca="1" ref="G60" ca="1">_FV(A60,"52 week high",TRUE)</f>
        <v>99480</v>
      </c>
      <c r="H60" s="27" cm="1">
        <f t="array" aca="1" ref="H60" ca="1">_FV(A60,"52 week low",TRUE)</f>
        <v>42250</v>
      </c>
      <c r="I60" s="28" cm="1">
        <f t="array" aca="1" ref="I60" ca="1">_FV(A60,"Volume")</f>
        <v>46878</v>
      </c>
      <c r="J60" s="27" t="str" cm="1">
        <f t="array" aca="1" ref="J60" ca="1">_FV(Table13[[#This Row],[Company]],"Headquarters")</f>
        <v>13 Zarhin Street, Nice 1, 2, 3, P.O. Box 690, RA'ANANA, 4310602 IL</v>
      </c>
      <c r="K60" cm="1">
        <f t="array" aca="1" ref="K60" ca="1">_FV(Table13[[#This Row],[Company]],"Year incorporated",TRUE)</f>
        <v>1986</v>
      </c>
      <c r="L60" s="27"/>
      <c r="M60" s="61" t="b">
        <v>0</v>
      </c>
    </row>
    <row r="61" spans="1:13" x14ac:dyDescent="0.2">
      <c r="A61" t="e" vm="47">
        <v>#VALUE!</v>
      </c>
      <c r="B61" s="27" t="str" cm="1">
        <f t="array" aca="1" ref="B61" ca="1">_FV(A61,"Ticker symbol",TRUE)</f>
        <v>HELE</v>
      </c>
      <c r="C61" s="27" t="str" cm="1">
        <f t="array" aca="1" ref="C61" ca="1">_FV(A61,"Industry")</f>
        <v>Household Goods</v>
      </c>
      <c r="D61" s="27" cm="1">
        <f t="array" aca="1" ref="D61" ca="1">_FV(A61,"Market cap",TRUE)</f>
        <v>449522600</v>
      </c>
      <c r="E61" s="27" cm="1">
        <f t="array" aca="1" ref="E61" ca="1">_FV(A61,"Price")</f>
        <v>20.41</v>
      </c>
      <c r="F61" s="13" cm="1">
        <f t="array" aca="1" ref="F61" ca="1">_FV(A61,"Change (%)",TRUE)</f>
        <v>4.3990000000000001E-2</v>
      </c>
      <c r="G61" s="27" cm="1">
        <f t="array" aca="1" ref="G61" ca="1">_FV(A61,"52 week high",TRUE)</f>
        <v>75.680000000000007</v>
      </c>
      <c r="H61" s="27" cm="1">
        <f t="array" aca="1" ref="H61" ca="1">_FV(A61,"52 week low",TRUE)</f>
        <v>18.899999999999999</v>
      </c>
      <c r="I61" s="28" cm="1">
        <f t="array" aca="1" ref="I61" ca="1">_FV(A61,"Volume")</f>
        <v>754129</v>
      </c>
      <c r="J61" s="27" t="str" cm="1">
        <f t="array" aca="1" ref="J61" ca="1">_FV(Table13[[#This Row],[Company]],"Headquarters")</f>
        <v>Clarendon House, 2 Church Street, HAMILTON, HM 11 BM</v>
      </c>
      <c r="K61" cm="1">
        <f t="array" aca="1" ref="K61" ca="1">_FV(Table13[[#This Row],[Company]],"Year incorporated",TRUE)</f>
        <v>1993</v>
      </c>
      <c r="L61" s="27"/>
      <c r="M61" s="61" t="b">
        <v>0</v>
      </c>
    </row>
    <row r="62" spans="1:13" x14ac:dyDescent="0.2">
      <c r="A62" t="e" vm="48">
        <v>#VALUE!</v>
      </c>
      <c r="B62" s="27" t="str" cm="1">
        <f t="array" aca="1" ref="B62" ca="1">_FV(A62,"Ticker symbol",TRUE)</f>
        <v>PVH</v>
      </c>
      <c r="C62" s="27" t="str" cm="1">
        <f t="array" aca="1" ref="C62" ca="1">_FV(A62,"Industry")</f>
        <v>Textiles &amp; Apparel</v>
      </c>
      <c r="D62" s="27" cm="1">
        <f t="array" aca="1" ref="D62" ca="1">_FV(A62,"Market cap",TRUE)</f>
        <v>4070452000</v>
      </c>
      <c r="E62" s="27" cm="1">
        <f t="array" aca="1" ref="E62" ca="1">_FV(A62,"Price")</f>
        <v>85.53</v>
      </c>
      <c r="F62" s="13" cm="1">
        <f t="array" aca="1" ref="F62" ca="1">_FV(A62,"Change (%)",TRUE)</f>
        <v>-1.3039E-2</v>
      </c>
      <c r="G62" s="27" cm="1">
        <f t="array" aca="1" ref="G62" ca="1">_FV(A62,"52 week high",TRUE)</f>
        <v>113.47</v>
      </c>
      <c r="H62" s="27" cm="1">
        <f t="array" aca="1" ref="H62" ca="1">_FV(A62,"52 week low",TRUE)</f>
        <v>59.280099999999997</v>
      </c>
      <c r="I62" s="28" cm="1">
        <f t="array" aca="1" ref="I62" ca="1">_FV(A62,"Volume")</f>
        <v>406781</v>
      </c>
      <c r="J62" s="27" t="str" cm="1">
        <f t="array" aca="1" ref="J62" ca="1">_FV(Table13[[#This Row],[Company]],"Headquarters")</f>
        <v>285 Madison Avenue, NEW YORK, NY, 10017 US</v>
      </c>
      <c r="K62" cm="1">
        <f t="array" aca="1" ref="K62" ca="1">_FV(Table13[[#This Row],[Company]],"Year incorporated",TRUE)</f>
        <v>1976</v>
      </c>
      <c r="L62" s="27"/>
      <c r="M62" s="61" t="b">
        <v>0</v>
      </c>
    </row>
    <row r="63" spans="1:13" x14ac:dyDescent="0.2">
      <c r="A63" t="e" vm="3">
        <v>#VALUE!</v>
      </c>
      <c r="B63" s="27" t="str" cm="1">
        <f t="array" aca="1" ref="B63" ca="1">_FV(A63,"Ticker symbol",TRUE)</f>
        <v>NVDA</v>
      </c>
      <c r="C63" s="27" t="str" cm="1">
        <f t="array" aca="1" ref="C63" ca="1">_FV(A63,"Industry")</f>
        <v>Semiconductors &amp; Semiconductor Equipment</v>
      </c>
      <c r="D63" s="27" cm="1">
        <f t="array" aca="1" ref="D63" ca="1">_FV(A63,"Market cap",TRUE)</f>
        <v>4380804000000</v>
      </c>
      <c r="E63" s="27" cm="1">
        <f t="array" aca="1" ref="E63" ca="1">_FV(A63,"Price")</f>
        <v>186.26</v>
      </c>
      <c r="F63" s="13" cm="1">
        <f t="array" aca="1" ref="F63" ca="1">_FV(A63,"Change (%)",TRUE)</f>
        <v>2.2508E-2</v>
      </c>
      <c r="G63" s="27" cm="1">
        <f t="array" aca="1" ref="G63" ca="1">_FV(A63,"52 week high",TRUE)</f>
        <v>195.62</v>
      </c>
      <c r="H63" s="27" cm="1">
        <f t="array" aca="1" ref="H63" ca="1">_FV(A63,"52 week low",TRUE)</f>
        <v>86.62</v>
      </c>
      <c r="I63" s="28" cm="1">
        <f t="array" aca="1" ref="I63" ca="1">_FV(A63,"Volume")</f>
        <v>131296677</v>
      </c>
      <c r="J63" s="27" t="str" cm="1">
        <f t="array" aca="1" ref="J63" ca="1">_FV(Table13[[#This Row],[Company]],"Headquarters")</f>
        <v>2788 San Tomas Expressway, SANTA CLARA, CA, 95051 US</v>
      </c>
      <c r="K63" cm="1">
        <f t="array" aca="1" ref="K63" ca="1">_FV(Table13[[#This Row],[Company]],"Year incorporated",TRUE)</f>
        <v>1998</v>
      </c>
      <c r="L63" s="27"/>
      <c r="M63" s="61" t="b">
        <v>0</v>
      </c>
    </row>
  </sheetData>
  <conditionalFormatting sqref="F22:F63">
    <cfRule type="cellIs" dxfId="39" priority="1" operator="greaterThan">
      <formula>0</formula>
    </cfRule>
    <cfRule type="cellIs" dxfId="38" priority="2" operator="lessThan">
      <formula>0</formula>
    </cfRule>
  </conditionalFormatting>
  <pageMargins left="0.7" right="0.7" top="0.75" bottom="0.75" header="0.3" footer="0.3"/>
  <tableParts count="3">
    <tablePart r:id="rId1"/>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480EA-7F06-3B46-A31E-4E0AAA9E498E}">
  <sheetPr codeName="Sheet4">
    <tabColor theme="3" tint="0.499984740745262"/>
  </sheetPr>
  <dimension ref="A1:BU124"/>
  <sheetViews>
    <sheetView tabSelected="1" zoomScale="114" zoomScaleNormal="125" workbookViewId="0">
      <selection activeCell="K15" sqref="K15"/>
    </sheetView>
  </sheetViews>
  <sheetFormatPr baseColWidth="10" defaultRowHeight="16" x14ac:dyDescent="0.2"/>
  <cols>
    <col min="1" max="1" width="13.1640625" customWidth="1"/>
    <col min="2" max="2" width="7.83203125" customWidth="1"/>
    <col min="3" max="3" width="1.83203125" customWidth="1"/>
    <col min="4" max="4" width="23.1640625" customWidth="1"/>
    <col min="5" max="5" width="1.5" customWidth="1"/>
    <col min="6" max="6" width="6.83203125" customWidth="1"/>
    <col min="7" max="7" width="1.5" customWidth="1"/>
    <col min="8" max="8" width="7.6640625" customWidth="1"/>
    <col min="9" max="9" width="8.1640625" customWidth="1"/>
    <col min="10" max="10" width="7.1640625" customWidth="1"/>
    <col min="11" max="11" width="7.83203125" customWidth="1"/>
    <col min="12" max="12" width="8.5" customWidth="1"/>
    <col min="13" max="13" width="7.33203125" customWidth="1"/>
    <col min="14" max="14" width="6.83203125" customWidth="1"/>
    <col min="15" max="15" width="6.1640625" customWidth="1"/>
    <col min="16" max="16" width="6.83203125" customWidth="1"/>
    <col min="17" max="17" width="7.6640625" customWidth="1"/>
    <col min="18" max="18" width="7.33203125" customWidth="1"/>
    <col min="19" max="19" width="7.1640625" customWidth="1"/>
    <col min="20" max="20" width="7.6640625" customWidth="1"/>
    <col min="21" max="21" width="7.1640625" customWidth="1"/>
    <col min="22" max="22" width="6.33203125" customWidth="1"/>
    <col min="23" max="23" width="1.6640625" customWidth="1"/>
    <col min="24" max="24" width="8" customWidth="1"/>
    <col min="25" max="25" width="9" customWidth="1"/>
    <col min="26" max="26" width="9.33203125" customWidth="1"/>
    <col min="27" max="27" width="9.83203125" customWidth="1"/>
    <col min="28" max="28" width="7.1640625" customWidth="1"/>
    <col min="29" max="29" width="14" customWidth="1"/>
    <col min="30" max="30" width="12.1640625" customWidth="1"/>
    <col min="31" max="31" width="8.83203125" customWidth="1"/>
    <col min="32" max="32" width="8.5" customWidth="1"/>
    <col min="33" max="34" width="8.1640625" customWidth="1"/>
    <col min="35" max="35" width="6.83203125" customWidth="1"/>
    <col min="36" max="37" width="11" bestFit="1" customWidth="1"/>
    <col min="38" max="38" width="11.83203125" bestFit="1" customWidth="1"/>
    <col min="41" max="41" width="13.1640625" customWidth="1"/>
    <col min="51" max="51" width="21.1640625" customWidth="1"/>
    <col min="55" max="55" width="21.6640625" customWidth="1"/>
  </cols>
  <sheetData>
    <row r="1" spans="1:71" x14ac:dyDescent="0.2">
      <c r="A1" s="6"/>
      <c r="B1" s="6"/>
      <c r="C1" s="6"/>
      <c r="D1" s="6"/>
      <c r="E1" s="6"/>
      <c r="F1" s="6"/>
      <c r="G1" s="6"/>
      <c r="H1" s="68"/>
      <c r="I1" s="68"/>
      <c r="J1" s="68"/>
      <c r="K1" s="6"/>
      <c r="L1" s="6"/>
      <c r="M1" s="6"/>
      <c r="N1" s="6"/>
      <c r="O1" s="6"/>
      <c r="P1" s="6"/>
      <c r="Q1" s="6"/>
      <c r="R1" s="6"/>
      <c r="S1" s="6"/>
      <c r="T1" s="6"/>
      <c r="U1" s="6"/>
      <c r="V1" s="6"/>
      <c r="W1" s="6"/>
      <c r="X1" s="6"/>
      <c r="Y1" s="6"/>
      <c r="Z1" s="6"/>
      <c r="AA1" s="6"/>
      <c r="AB1" s="6"/>
      <c r="AC1" s="6"/>
      <c r="AD1" s="6"/>
      <c r="AE1" s="6">
        <v>1</v>
      </c>
      <c r="AF1" s="6">
        <v>2</v>
      </c>
      <c r="AG1" s="6">
        <v>3</v>
      </c>
      <c r="AH1" s="6">
        <v>4</v>
      </c>
      <c r="AI1" s="6">
        <v>5</v>
      </c>
      <c r="AJ1" s="6">
        <v>6</v>
      </c>
      <c r="AK1" s="6">
        <v>7</v>
      </c>
      <c r="AL1" s="6">
        <v>8</v>
      </c>
      <c r="AM1" s="6">
        <v>9</v>
      </c>
      <c r="AN1" s="6">
        <v>10</v>
      </c>
      <c r="AO1" s="6"/>
      <c r="AP1" s="6"/>
      <c r="AQ1" s="6"/>
      <c r="AR1" s="6"/>
      <c r="AS1" s="6"/>
      <c r="AT1" s="6"/>
      <c r="AU1" s="6"/>
      <c r="AV1" s="6"/>
    </row>
    <row r="2" spans="1:71" x14ac:dyDescent="0.2">
      <c r="A2" t="s">
        <v>358</v>
      </c>
      <c r="B2" s="62" t="s">
        <v>534</v>
      </c>
      <c r="C2" s="6"/>
      <c r="D2" s="6"/>
      <c r="E2" s="6"/>
      <c r="F2" s="6"/>
      <c r="G2" s="6"/>
      <c r="H2" s="69"/>
      <c r="I2" s="70"/>
      <c r="J2" s="70"/>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t="s">
        <v>615</v>
      </c>
      <c r="AR2" s="6"/>
      <c r="AS2" s="6"/>
      <c r="AT2" s="6"/>
      <c r="AU2" s="6"/>
      <c r="AV2" s="6"/>
    </row>
    <row r="3" spans="1:71" x14ac:dyDescent="0.2">
      <c r="A3" s="6"/>
      <c r="B3" s="6"/>
      <c r="C3" s="6"/>
      <c r="D3" s="6"/>
      <c r="E3" s="6"/>
      <c r="F3" s="6"/>
      <c r="G3" s="6">
        <v>2</v>
      </c>
      <c r="H3" s="6">
        <v>3</v>
      </c>
      <c r="I3" s="6">
        <v>4</v>
      </c>
      <c r="J3" s="6">
        <v>5</v>
      </c>
      <c r="K3" s="6">
        <v>6</v>
      </c>
      <c r="L3" s="6">
        <v>7</v>
      </c>
      <c r="M3" s="6">
        <v>8</v>
      </c>
      <c r="N3" s="6">
        <v>9</v>
      </c>
      <c r="O3" s="6">
        <v>10</v>
      </c>
      <c r="P3" s="6">
        <v>11</v>
      </c>
      <c r="Q3" s="6">
        <v>12</v>
      </c>
      <c r="R3" s="6">
        <v>13</v>
      </c>
      <c r="S3" s="6">
        <v>14</v>
      </c>
      <c r="T3" s="6">
        <v>15</v>
      </c>
      <c r="U3" s="6">
        <v>16</v>
      </c>
      <c r="V3" s="6">
        <v>17</v>
      </c>
      <c r="W3" s="6"/>
      <c r="X3" s="6"/>
      <c r="Y3" s="6"/>
      <c r="Z3" s="6"/>
      <c r="AA3" s="6"/>
      <c r="AB3" s="6"/>
      <c r="AC3" t="s">
        <v>619</v>
      </c>
      <c r="AD3" s="77">
        <v>0.3</v>
      </c>
      <c r="AE3" s="6"/>
      <c r="AF3" s="6"/>
      <c r="AG3" s="6"/>
      <c r="AH3" s="6"/>
      <c r="AI3" s="6"/>
      <c r="AJ3" s="6"/>
      <c r="AK3" s="6"/>
      <c r="AL3" s="6"/>
      <c r="AM3" s="6"/>
      <c r="AN3" s="6"/>
      <c r="AO3" s="6"/>
      <c r="AP3" s="13" t="s">
        <v>512</v>
      </c>
      <c r="AQ3">
        <v>3.7499999999999999E-2</v>
      </c>
      <c r="AR3" s="30"/>
      <c r="AS3" s="30"/>
      <c r="AT3" s="30"/>
      <c r="AU3" s="30"/>
      <c r="AV3" s="30"/>
      <c r="AW3" s="29"/>
      <c r="AX3" s="29"/>
      <c r="AY3" s="29"/>
      <c r="AZ3" s="29"/>
    </row>
    <row r="4" spans="1:71" ht="14" customHeight="1" x14ac:dyDescent="0.2">
      <c r="A4" s="47" t="s">
        <v>45</v>
      </c>
      <c r="B4" s="76">
        <f>QData!B169</f>
        <v>7848</v>
      </c>
      <c r="C4" s="6"/>
      <c r="D4" s="50" t="s">
        <v>43</v>
      </c>
      <c r="E4" s="14"/>
      <c r="F4" s="29" t="s">
        <v>44</v>
      </c>
      <c r="G4" s="14"/>
      <c r="H4" s="29">
        <f>HData!C5</f>
        <v>2025</v>
      </c>
      <c r="I4" s="29">
        <f>HData!D5</f>
        <v>2024</v>
      </c>
      <c r="J4" s="29">
        <f>HData!E5</f>
        <v>2023</v>
      </c>
      <c r="K4" s="29">
        <f>HData!F5</f>
        <v>2022</v>
      </c>
      <c r="L4" s="29">
        <f>HData!G5</f>
        <v>2021</v>
      </c>
      <c r="M4" s="29">
        <f>HData!H5</f>
        <v>2020</v>
      </c>
      <c r="N4" s="29">
        <f>HData!I5</f>
        <v>2019</v>
      </c>
      <c r="O4" s="29">
        <f>HData!J5</f>
        <v>2018</v>
      </c>
      <c r="P4" s="29">
        <f>HData!K5</f>
        <v>2017</v>
      </c>
      <c r="Q4" s="29">
        <f>HData!L5</f>
        <v>2016</v>
      </c>
      <c r="R4" s="29">
        <f>HData!M5</f>
        <v>2015</v>
      </c>
      <c r="S4" s="29">
        <f>HData!N5</f>
        <v>2014</v>
      </c>
      <c r="T4" s="29">
        <f>HData!O5</f>
        <v>2013</v>
      </c>
      <c r="U4" s="29">
        <f>HData!P5</f>
        <v>2012</v>
      </c>
      <c r="V4" s="29">
        <f>HData!Q5</f>
        <v>2011</v>
      </c>
      <c r="W4" s="30"/>
      <c r="X4" s="47" t="s">
        <v>362</v>
      </c>
      <c r="Y4" s="58" t="s">
        <v>363</v>
      </c>
      <c r="Z4" s="58" t="s">
        <v>364</v>
      </c>
      <c r="AA4" s="47" t="s">
        <v>365</v>
      </c>
      <c r="AB4" s="6"/>
      <c r="AC4" t="s">
        <v>620</v>
      </c>
      <c r="AD4">
        <v>0.03</v>
      </c>
      <c r="AE4" s="6"/>
      <c r="AF4" s="6"/>
      <c r="AG4" s="6"/>
      <c r="AH4" s="6"/>
      <c r="AI4" s="6"/>
      <c r="AJ4" s="6"/>
      <c r="AK4" s="6"/>
      <c r="AL4" s="6"/>
      <c r="AM4" s="6"/>
      <c r="AN4" s="6"/>
      <c r="AO4" s="6"/>
      <c r="AP4" s="13" t="s">
        <v>511</v>
      </c>
      <c r="AQ4">
        <f>Statistics!B55</f>
        <v>2.12</v>
      </c>
      <c r="AR4" s="73"/>
      <c r="AS4" s="6"/>
      <c r="AT4" s="6"/>
      <c r="AU4" s="23"/>
      <c r="AV4" s="6"/>
      <c r="AY4" s="64"/>
    </row>
    <row r="5" spans="1:71" ht="14" customHeight="1" x14ac:dyDescent="0.25">
      <c r="A5" s="47" t="s">
        <v>40</v>
      </c>
      <c r="B5" s="76">
        <f>B4+F22-F18</f>
        <v>6807</v>
      </c>
      <c r="C5" s="6"/>
      <c r="D5" s="50" t="s">
        <v>0</v>
      </c>
      <c r="E5" s="14"/>
      <c r="F5" s="30"/>
      <c r="G5" s="15"/>
      <c r="H5" s="30"/>
      <c r="I5" s="30"/>
      <c r="J5" s="30"/>
      <c r="K5" s="30"/>
      <c r="L5" s="30"/>
      <c r="M5" s="30"/>
      <c r="N5" s="30"/>
      <c r="O5" s="30"/>
      <c r="P5" s="30"/>
      <c r="Q5" s="30"/>
      <c r="R5" s="30"/>
      <c r="S5" s="30"/>
      <c r="T5" s="30"/>
      <c r="U5" s="30"/>
      <c r="V5" s="30"/>
      <c r="W5" s="30"/>
      <c r="X5" s="6"/>
      <c r="Y5" s="6"/>
      <c r="Z5" s="6"/>
      <c r="AA5" s="6"/>
      <c r="AB5" s="6"/>
      <c r="AC5" t="s">
        <v>524</v>
      </c>
      <c r="AD5" s="9">
        <f>AQ11</f>
        <v>0.10339067444733147</v>
      </c>
      <c r="AE5" s="6"/>
      <c r="AF5" s="22"/>
      <c r="AG5" s="22"/>
      <c r="AH5" s="22"/>
      <c r="AI5" s="22"/>
      <c r="AJ5" s="22"/>
      <c r="AK5" s="6"/>
      <c r="AL5" s="6"/>
      <c r="AM5" s="6"/>
      <c r="AN5" s="6"/>
      <c r="AO5" s="6"/>
      <c r="AP5" s="13" t="s">
        <v>513</v>
      </c>
      <c r="AQ5">
        <v>0.12</v>
      </c>
      <c r="AR5" s="20"/>
      <c r="AS5" s="21"/>
      <c r="AT5" s="6"/>
      <c r="AU5" s="20"/>
      <c r="AV5" s="22"/>
      <c r="AY5" s="10" t="s">
        <v>0</v>
      </c>
    </row>
    <row r="6" spans="1:71" ht="14" customHeight="1" x14ac:dyDescent="0.2">
      <c r="A6" s="50" t="s">
        <v>42</v>
      </c>
      <c r="C6" s="6"/>
      <c r="D6" s="47" t="s">
        <v>32</v>
      </c>
      <c r="E6" s="30"/>
      <c r="F6" s="48">
        <f>VLOOKUP(AY6,'12QData'!$A$5:$W$218,2,FALSE)</f>
        <v>165218</v>
      </c>
      <c r="G6" s="52"/>
      <c r="H6" s="48">
        <f>VLOOKUP($D6,HData!$A$2:$AE$219,H$3,FALSE)</f>
        <v>130497</v>
      </c>
      <c r="I6" s="48">
        <f>VLOOKUP($D6,HData!$A$2:$AE$219,I$3,FALSE)</f>
        <v>60922</v>
      </c>
      <c r="J6" s="48">
        <f>VLOOKUP($D6,HData!$A$2:$AE$219,J$3,FALSE)</f>
        <v>26974</v>
      </c>
      <c r="K6" s="48">
        <f>VLOOKUP($D6,HData!$A$2:$AE$219,K$3,FALSE)</f>
        <v>26914</v>
      </c>
      <c r="L6" s="48">
        <f>VLOOKUP($D6,HData!$A$2:$AE$219,L$3,FALSE)</f>
        <v>16675</v>
      </c>
      <c r="M6" s="48">
        <f>VLOOKUP($D6,HData!$A$2:$AE$219,M$3,FALSE)</f>
        <v>10918</v>
      </c>
      <c r="N6" s="48">
        <f>VLOOKUP($D6,HData!$A$2:$AE$219,N$3,FALSE)</f>
        <v>11716</v>
      </c>
      <c r="O6" s="48">
        <f>VLOOKUP($D6,HData!$A$2:$AE$219,O$3,FALSE)</f>
        <v>9714</v>
      </c>
      <c r="P6" s="48">
        <f>VLOOKUP($D6,HData!$A$2:$AE$219,P$3,FALSE)</f>
        <v>6910</v>
      </c>
      <c r="Q6" s="48">
        <f>VLOOKUP($D6,HData!$A$2:$AE$219,Q$3,FALSE)</f>
        <v>5010</v>
      </c>
      <c r="R6" s="48">
        <f>VLOOKUP($D6,HData!$A$2:$AE$219,R$3,FALSE)</f>
        <v>4682</v>
      </c>
      <c r="S6" s="48">
        <f>VLOOKUP($D6,HData!$A$2:$AE$219,S$3,FALSE)</f>
        <v>4130</v>
      </c>
      <c r="T6" s="48">
        <f>VLOOKUP($D6,HData!$A$2:$AE$219,T$3,FALSE)</f>
        <v>4280</v>
      </c>
      <c r="U6" s="48">
        <f>VLOOKUP($D6,HData!$A$2:$AE$219,U$3,FALSE)</f>
        <v>3998</v>
      </c>
      <c r="V6" s="48">
        <f>VLOOKUP($D6,HData!$A$2:$AE$219,V$3,FALSE)</f>
        <v>3543</v>
      </c>
      <c r="W6" s="30"/>
      <c r="X6" s="58">
        <f>AVERAGE(BE6:BR6)</f>
        <v>0.34534078950594599</v>
      </c>
      <c r="Y6" s="58">
        <f>(H6-I6)/I6</f>
        <v>1.1420340763599357</v>
      </c>
      <c r="Z6" s="58">
        <f>(H6-L6)/L6</f>
        <v>6.8259070464767619</v>
      </c>
      <c r="AA6" s="58">
        <f>(H6-Q6)/Q6</f>
        <v>25.047305389221556</v>
      </c>
      <c r="AB6" s="6"/>
      <c r="AC6" s="6"/>
      <c r="AD6" s="6"/>
      <c r="AE6" s="6"/>
      <c r="AF6" s="6"/>
      <c r="AG6" s="6"/>
      <c r="AH6" s="6"/>
      <c r="AI6" s="6"/>
      <c r="AJ6" s="6"/>
      <c r="AK6" s="6"/>
      <c r="AL6" s="6"/>
      <c r="AM6" s="6"/>
      <c r="AN6" s="6"/>
      <c r="AO6" s="6"/>
      <c r="AP6" s="13" t="s">
        <v>516</v>
      </c>
      <c r="AQ6">
        <f>AQ3+AQ4*(AQ5-AQ3)</f>
        <v>0.21240000000000001</v>
      </c>
      <c r="AR6" s="20"/>
      <c r="AS6" s="24"/>
      <c r="AT6" s="6"/>
      <c r="AU6" s="20"/>
      <c r="AV6" s="24"/>
      <c r="AY6" s="67" t="s">
        <v>32</v>
      </c>
      <c r="BE6">
        <f t="shared" ref="BE6:BE16" si="0">(H6-I6)/I6</f>
        <v>1.1420340763599357</v>
      </c>
      <c r="BF6">
        <f t="shared" ref="BF6:BF16" si="1">(I6-J6)/J6</f>
        <v>1.2585452658115222</v>
      </c>
      <c r="BG6">
        <f t="shared" ref="BG6:BG16" si="2">(J6-K6)/K6</f>
        <v>2.2293230289068887E-3</v>
      </c>
      <c r="BH6">
        <f t="shared" ref="BH6:BH16" si="3">(K6-L6)/L6</f>
        <v>0.61403298350824587</v>
      </c>
      <c r="BI6">
        <f t="shared" ref="BI6:BI16" si="4">(L6-M6)/M6</f>
        <v>0.52729437625938813</v>
      </c>
      <c r="BJ6">
        <f t="shared" ref="BJ6:BJ16" si="5">(M6-N6)/N6</f>
        <v>-6.8111983612154314E-2</v>
      </c>
      <c r="BK6">
        <f t="shared" ref="BK6:BK16" si="6">(N6-O6)/O6</f>
        <v>0.20609429689108502</v>
      </c>
      <c r="BL6">
        <f t="shared" ref="BL6:BL16" si="7">(O6-P6)/P6</f>
        <v>0.4057887120115774</v>
      </c>
      <c r="BM6">
        <f t="shared" ref="BM6:BM16" si="8">(P6-Q6)/Q6</f>
        <v>0.37924151696606784</v>
      </c>
      <c r="BN6">
        <f t="shared" ref="BN6:BN16" si="9">(Q6-R6)/R6</f>
        <v>7.0055531824006839E-2</v>
      </c>
      <c r="BO6">
        <f t="shared" ref="BO6:BO16" si="10">(R6-S6)/S6</f>
        <v>0.13365617433414043</v>
      </c>
      <c r="BP6">
        <f t="shared" ref="BP6:BP16" si="11">(S6-T6)/T6</f>
        <v>-3.5046728971962614E-2</v>
      </c>
      <c r="BQ6">
        <f t="shared" ref="BQ6:BQ16" si="12">(T6-U6)/U6</f>
        <v>7.0535267633816914E-2</v>
      </c>
      <c r="BR6">
        <f t="shared" ref="BR6:BR16" si="13">(U6-V6)/V6</f>
        <v>0.12842224103866778</v>
      </c>
      <c r="BS6" t="e">
        <f t="shared" ref="BS6:BS16" si="14">(V6-W6)/W6</f>
        <v>#DIV/0!</v>
      </c>
    </row>
    <row r="7" spans="1:71" ht="15" customHeight="1" x14ac:dyDescent="0.2">
      <c r="A7" s="3" t="s">
        <v>19</v>
      </c>
      <c r="B7" s="47">
        <f>Statistics!B19</f>
        <v>53.06</v>
      </c>
      <c r="C7" s="6"/>
      <c r="D7" s="47" t="s">
        <v>1</v>
      </c>
      <c r="E7" s="30"/>
      <c r="F7" s="48">
        <f>VLOOKUP(AY7,'12QData'!$A$5:$W$218,2,FALSE)</f>
        <v>115400</v>
      </c>
      <c r="G7" s="52"/>
      <c r="H7" s="48">
        <f>VLOOKUP($D7,HData!$A$2:$AE$219,H$3,FALSE)</f>
        <v>97858</v>
      </c>
      <c r="I7" s="48">
        <f>VLOOKUP($D7,HData!$A$2:$AE$219,I$3,FALSE)</f>
        <v>44301</v>
      </c>
      <c r="J7" s="48">
        <f>VLOOKUP($D7,HData!$A$2:$AE$219,J$3,FALSE)</f>
        <v>15356</v>
      </c>
      <c r="K7" s="48">
        <f>VLOOKUP($D7,HData!$A$2:$AE$219,K$3,FALSE)</f>
        <v>17475</v>
      </c>
      <c r="L7" s="48">
        <f>VLOOKUP($D7,HData!$A$2:$AE$219,L$3,FALSE)</f>
        <v>10396</v>
      </c>
      <c r="M7" s="48">
        <f>VLOOKUP($D7,HData!$A$2:$AE$219,M$3,FALSE)</f>
        <v>6768</v>
      </c>
      <c r="N7" s="48">
        <f>VLOOKUP($D7,HData!$A$2:$AE$219,N$3,FALSE)</f>
        <v>7171</v>
      </c>
      <c r="O7" s="48">
        <f>VLOOKUP($D7,HData!$A$2:$AE$219,O$3,FALSE)</f>
        <v>5822</v>
      </c>
      <c r="P7" s="48">
        <f>VLOOKUP($D7,HData!$A$2:$AE$219,P$3,FALSE)</f>
        <v>4063</v>
      </c>
      <c r="Q7" s="48">
        <f>VLOOKUP($D7,HData!$A$2:$AE$219,Q$3,FALSE)</f>
        <v>2811</v>
      </c>
      <c r="R7" s="48">
        <f>VLOOKUP($D7,HData!$A$2:$AE$219,R$3,FALSE)</f>
        <v>2599</v>
      </c>
      <c r="S7" s="48">
        <f>VLOOKUP($D7,HData!$A$2:$AE$219,S$3,FALSE)</f>
        <v>2268</v>
      </c>
      <c r="T7" s="48">
        <f>VLOOKUP($D7,HData!$A$2:$AE$219,T$3,FALSE)</f>
        <v>2226</v>
      </c>
      <c r="U7" s="48">
        <f>VLOOKUP($D7,HData!$A$2:$AE$219,U$3,FALSE)</f>
        <v>2057</v>
      </c>
      <c r="V7" s="48">
        <f>VLOOKUP($D7,HData!$A$2:$AE$219,V$3,FALSE)</f>
        <v>1409</v>
      </c>
      <c r="W7" s="30"/>
      <c r="X7" s="58">
        <f t="shared" ref="X7:X16" si="15">AVERAGE(BE7:BI7)</f>
        <v>0.83791867005542053</v>
      </c>
      <c r="Y7" s="58">
        <f t="shared" ref="Y7:Y16" si="16">(H7-I7)/I7</f>
        <v>1.208934335568046</v>
      </c>
      <c r="Z7" s="58">
        <f t="shared" ref="Z7:Z16" si="17">(H7-L7)/L7</f>
        <v>8.4130434782608692</v>
      </c>
      <c r="AA7" s="58">
        <f t="shared" ref="AA7:AA16" si="18">(H7-Q7)/Q7</f>
        <v>33.812522234080397</v>
      </c>
      <c r="AB7" s="6"/>
      <c r="AC7" s="81" t="s">
        <v>621</v>
      </c>
      <c r="AD7">
        <f>H4</f>
        <v>2025</v>
      </c>
      <c r="AE7">
        <f t="shared" ref="AE7:AN7" si="19">AD7 + 1</f>
        <v>2026</v>
      </c>
      <c r="AF7">
        <f t="shared" si="19"/>
        <v>2027</v>
      </c>
      <c r="AG7">
        <f t="shared" si="19"/>
        <v>2028</v>
      </c>
      <c r="AH7">
        <f t="shared" si="19"/>
        <v>2029</v>
      </c>
      <c r="AI7">
        <f t="shared" si="19"/>
        <v>2030</v>
      </c>
      <c r="AJ7">
        <f t="shared" si="19"/>
        <v>2031</v>
      </c>
      <c r="AK7">
        <f t="shared" si="19"/>
        <v>2032</v>
      </c>
      <c r="AL7">
        <f t="shared" si="19"/>
        <v>2033</v>
      </c>
      <c r="AM7">
        <f t="shared" si="19"/>
        <v>2034</v>
      </c>
      <c r="AN7">
        <f t="shared" si="19"/>
        <v>2035</v>
      </c>
      <c r="AO7" s="6"/>
      <c r="AP7" s="13" t="s">
        <v>523</v>
      </c>
      <c r="AQ7" s="13">
        <f>(H13/H22)*(1-H28)</f>
        <v>2.0693164556962025E-2</v>
      </c>
      <c r="AR7" s="20"/>
      <c r="AS7" s="21"/>
      <c r="AT7" s="6"/>
      <c r="AU7" s="6"/>
      <c r="AV7" s="6"/>
      <c r="AY7" s="67" t="s">
        <v>1</v>
      </c>
      <c r="BE7">
        <f t="shared" si="0"/>
        <v>1.208934335568046</v>
      </c>
      <c r="BF7">
        <f t="shared" si="1"/>
        <v>1.8849309716071894</v>
      </c>
      <c r="BG7">
        <f t="shared" si="2"/>
        <v>-0.12125894134477826</v>
      </c>
      <c r="BH7">
        <f t="shared" si="3"/>
        <v>0.68093497499038091</v>
      </c>
      <c r="BI7">
        <f t="shared" si="4"/>
        <v>0.53605200945626474</v>
      </c>
      <c r="BJ7">
        <f t="shared" si="5"/>
        <v>-5.6198577604239297E-2</v>
      </c>
      <c r="BK7">
        <f t="shared" si="6"/>
        <v>0.23170731707317074</v>
      </c>
      <c r="BL7">
        <f t="shared" si="7"/>
        <v>0.43293133152842728</v>
      </c>
      <c r="BM7">
        <f t="shared" si="8"/>
        <v>0.44539309854144432</v>
      </c>
      <c r="BN7">
        <f t="shared" si="9"/>
        <v>8.1569834551750667E-2</v>
      </c>
      <c r="BO7">
        <f t="shared" si="10"/>
        <v>0.14594356261022928</v>
      </c>
      <c r="BP7">
        <f t="shared" si="11"/>
        <v>1.8867924528301886E-2</v>
      </c>
      <c r="BQ7">
        <f t="shared" si="12"/>
        <v>8.2158483228001941E-2</v>
      </c>
      <c r="BR7">
        <f t="shared" si="13"/>
        <v>0.45990063875088716</v>
      </c>
      <c r="BS7" t="e">
        <f t="shared" si="14"/>
        <v>#DIV/0!</v>
      </c>
    </row>
    <row r="8" spans="1:71" ht="14" customHeight="1" x14ac:dyDescent="0.2">
      <c r="A8" s="3" t="s">
        <v>46</v>
      </c>
      <c r="B8" s="47">
        <f>Statistics!B20</f>
        <v>32.64</v>
      </c>
      <c r="C8" s="6"/>
      <c r="D8" s="47" t="s">
        <v>17</v>
      </c>
      <c r="E8" s="30"/>
      <c r="F8" s="48">
        <f>VLOOKUP(AY8,'12QData'!$A$5:$W$218,2,FALSE)</f>
        <v>86597</v>
      </c>
      <c r="G8" s="52"/>
      <c r="H8" s="48">
        <f>VLOOKUP($D8,HData!$A$2:$AE$219,H$3,FALSE)</f>
        <v>72880</v>
      </c>
      <c r="I8" s="48">
        <f>VLOOKUP($D8,HData!$A$2:$AE$219,I$3,FALSE)</f>
        <v>29760</v>
      </c>
      <c r="J8" s="48">
        <f>VLOOKUP($D8,HData!$A$2:$AE$219,J$3,FALSE)</f>
        <v>4368</v>
      </c>
      <c r="K8" s="48">
        <f>VLOOKUP($D8,HData!$A$2:$AE$219,K$3,FALSE)</f>
        <v>9752</v>
      </c>
      <c r="L8" s="48">
        <f>VLOOKUP($D8,HData!$A$2:$AE$219,L$3,FALSE)</f>
        <v>4332</v>
      </c>
      <c r="M8" s="48">
        <f>VLOOKUP($D8,HData!$A$2:$AE$219,M$3,FALSE)</f>
        <v>2796</v>
      </c>
      <c r="N8" s="48">
        <f>VLOOKUP($D8,HData!$A$2:$AE$219,N$3,FALSE)</f>
        <v>4141</v>
      </c>
      <c r="O8" s="48">
        <f>VLOOKUP($D8,HData!$A$2:$AE$219,O$3,FALSE)</f>
        <v>3047</v>
      </c>
      <c r="P8" s="48">
        <f>VLOOKUP($D8,HData!$A$2:$AE$219,P$3,FALSE)</f>
        <v>1666</v>
      </c>
      <c r="Q8" s="48">
        <f>VLOOKUP($D8,HData!$A$2:$AE$219,Q$3,FALSE)</f>
        <v>614</v>
      </c>
      <c r="R8" s="48">
        <f>VLOOKUP($D8,HData!$A$2:$AE$219,R$3,FALSE)</f>
        <v>631</v>
      </c>
      <c r="S8" s="48">
        <f>VLOOKUP($D8,HData!$A$2:$AE$219,S$3,FALSE)</f>
        <v>440</v>
      </c>
      <c r="T8" s="48">
        <f>VLOOKUP($D8,HData!$A$2:$AE$219,T$3,FALSE)</f>
        <v>562.5</v>
      </c>
      <c r="U8" s="48">
        <f>VLOOKUP($D8,HData!$A$2:$AE$219,U$3,FALSE)</f>
        <v>581.1</v>
      </c>
      <c r="V8" s="48">
        <f>VLOOKUP($D8,HData!$A$2:$AE$219,V$3,FALSE)</f>
        <v>253.1</v>
      </c>
      <c r="W8" s="30"/>
      <c r="X8" s="58">
        <f t="shared" si="15"/>
        <v>1.7021060180498544</v>
      </c>
      <c r="Y8" s="58">
        <f t="shared" si="16"/>
        <v>1.4489247311827957</v>
      </c>
      <c r="Z8" s="58">
        <f>(H8-L8)/L8</f>
        <v>15.823638042474608</v>
      </c>
      <c r="AA8" s="58">
        <f t="shared" si="18"/>
        <v>117.6970684039088</v>
      </c>
      <c r="AB8" s="6"/>
      <c r="AC8" s="13" t="s">
        <v>32</v>
      </c>
      <c r="AD8">
        <f>H6</f>
        <v>130497</v>
      </c>
      <c r="AE8">
        <f t="shared" ref="AE8:AN8" si="20">AD8*(1+$AD$3)</f>
        <v>169646.1</v>
      </c>
      <c r="AF8">
        <f t="shared" si="20"/>
        <v>220539.93000000002</v>
      </c>
      <c r="AG8">
        <f t="shared" si="20"/>
        <v>286701.90900000004</v>
      </c>
      <c r="AH8">
        <f t="shared" si="20"/>
        <v>372712.48170000006</v>
      </c>
      <c r="AI8">
        <f t="shared" si="20"/>
        <v>484526.22621000011</v>
      </c>
      <c r="AJ8">
        <f t="shared" si="20"/>
        <v>629884.09407300013</v>
      </c>
      <c r="AK8">
        <f t="shared" si="20"/>
        <v>818849.32229490019</v>
      </c>
      <c r="AL8">
        <f t="shared" si="20"/>
        <v>1064504.1189833703</v>
      </c>
      <c r="AM8">
        <f t="shared" si="20"/>
        <v>1383855.3546783815</v>
      </c>
      <c r="AN8">
        <f t="shared" si="20"/>
        <v>1799011.961081896</v>
      </c>
      <c r="AO8" s="6"/>
      <c r="AP8" s="13" t="s">
        <v>514</v>
      </c>
      <c r="AQ8">
        <f>B4/(B4+(H22*0.95))</f>
        <v>0.44579510920503279</v>
      </c>
      <c r="AR8" s="20"/>
      <c r="AS8" s="6"/>
      <c r="AT8" s="6"/>
      <c r="AU8" s="6"/>
      <c r="AV8" s="6"/>
      <c r="AY8" s="67" t="s">
        <v>17</v>
      </c>
      <c r="BE8">
        <f t="shared" si="0"/>
        <v>1.4489247311827957</v>
      </c>
      <c r="BF8">
        <f t="shared" si="1"/>
        <v>5.813186813186813</v>
      </c>
      <c r="BG8">
        <f t="shared" si="2"/>
        <v>-0.55209187858900743</v>
      </c>
      <c r="BH8">
        <f t="shared" si="3"/>
        <v>1.2511542012927055</v>
      </c>
      <c r="BI8">
        <f t="shared" si="4"/>
        <v>0.54935622317596566</v>
      </c>
      <c r="BJ8">
        <f t="shared" si="5"/>
        <v>-0.32480077276020286</v>
      </c>
      <c r="BK8">
        <f t="shared" si="6"/>
        <v>0.35904168034131934</v>
      </c>
      <c r="BL8">
        <f t="shared" si="7"/>
        <v>0.82893157262905159</v>
      </c>
      <c r="BM8">
        <f t="shared" si="8"/>
        <v>1.7133550488599349</v>
      </c>
      <c r="BN8">
        <f t="shared" si="9"/>
        <v>-2.694136291600634E-2</v>
      </c>
      <c r="BO8">
        <f t="shared" si="10"/>
        <v>0.43409090909090908</v>
      </c>
      <c r="BP8">
        <f t="shared" si="11"/>
        <v>-0.21777777777777776</v>
      </c>
      <c r="BQ8">
        <f t="shared" si="12"/>
        <v>-3.2008260196179694E-2</v>
      </c>
      <c r="BR8">
        <f t="shared" si="13"/>
        <v>1.2959304622678784</v>
      </c>
      <c r="BS8" t="e">
        <f t="shared" si="14"/>
        <v>#DIV/0!</v>
      </c>
    </row>
    <row r="9" spans="1:71" ht="14" customHeight="1" x14ac:dyDescent="0.2">
      <c r="A9" s="3" t="s">
        <v>346</v>
      </c>
      <c r="B9" s="47">
        <f>Statistics!B21</f>
        <v>27.57</v>
      </c>
      <c r="C9" s="6"/>
      <c r="D9" s="47" t="s">
        <v>106</v>
      </c>
      <c r="E9" s="30"/>
      <c r="F9" s="48">
        <f>VLOOKUP(AY9,'12QData'!$A$5:$W$218,2,FALSE)</f>
        <v>95980</v>
      </c>
      <c r="G9" s="52"/>
      <c r="H9" s="48">
        <f>VLOOKUP($D9,HData!$A$2:$AE$219,H$3,FALSE)</f>
        <v>81453</v>
      </c>
      <c r="I9" s="48">
        <f>VLOOKUP($D9,HData!$A$2:$AE$219,I$3,FALSE)</f>
        <v>32972</v>
      </c>
      <c r="J9" s="48">
        <f>VLOOKUP($D9,HData!$A$2:$AE$219,J$3,FALSE)</f>
        <v>4224</v>
      </c>
      <c r="K9" s="48">
        <f>VLOOKUP($D9,HData!$A$2:$AE$219,K$3,FALSE)</f>
        <v>10041</v>
      </c>
      <c r="L9" s="48">
        <f>VLOOKUP($D9,HData!$A$2:$AE$219,L$3,FALSE)</f>
        <v>4532</v>
      </c>
      <c r="M9" s="48">
        <f>VLOOKUP($D9,HData!$A$2:$AE$219,M$3,FALSE)</f>
        <v>2846</v>
      </c>
      <c r="N9" s="48">
        <f>VLOOKUP($D9,HData!$A$2:$AE$219,N$3,FALSE)</f>
        <v>3804</v>
      </c>
      <c r="O9" s="48">
        <f>VLOOKUP($D9,HData!$A$2:$AE$219,O$3,FALSE)</f>
        <v>3210</v>
      </c>
      <c r="P9" s="48">
        <f>VLOOKUP($D9,HData!$A$2:$AE$219,P$3,FALSE)</f>
        <v>1934</v>
      </c>
      <c r="Q9" s="48">
        <f>VLOOKUP($D9,HData!$A$2:$AE$219,Q$3,FALSE)</f>
        <v>747</v>
      </c>
      <c r="R9" s="48">
        <f>VLOOKUP($D9,HData!$A$2:$AE$219,R$3,FALSE)</f>
        <v>759</v>
      </c>
      <c r="S9" s="48">
        <f>VLOOKUP($D9,HData!$A$2:$AE$219,S$3,FALSE)</f>
        <v>496</v>
      </c>
      <c r="T9" s="48">
        <f>VLOOKUP($D9,HData!$A$2:$AE$219,T$3,FALSE)</f>
        <v>648.20000000000005</v>
      </c>
      <c r="U9" s="48">
        <f>VLOOKUP($D9,HData!$A$2:$AE$219,U$3,FALSE)</f>
        <v>648.29999999999995</v>
      </c>
      <c r="V9" s="48">
        <f>VLOOKUP($D9,HData!$A$2:$AE$219,V$3,FALSE)</f>
        <v>255.7</v>
      </c>
      <c r="W9" s="30"/>
      <c r="X9" s="58">
        <f t="shared" si="15"/>
        <v>1.9009807506422061</v>
      </c>
      <c r="Y9" s="58">
        <f t="shared" si="16"/>
        <v>1.470368797767803</v>
      </c>
      <c r="Z9" s="58">
        <f t="shared" si="17"/>
        <v>16.972859664607238</v>
      </c>
      <c r="AA9" s="58">
        <f t="shared" si="18"/>
        <v>108.04016064257029</v>
      </c>
      <c r="AB9" s="6"/>
      <c r="AC9" s="13" t="s">
        <v>3</v>
      </c>
      <c r="AD9" s="13">
        <f>AD28</f>
        <v>0.62417526839697468</v>
      </c>
      <c r="AE9">
        <f>$AD$9*AE8</f>
        <v>105888.90000000001</v>
      </c>
      <c r="AF9">
        <f t="shared" ref="AF9:AN9" si="21">$AD$9*AF8</f>
        <v>137655.57000000004</v>
      </c>
      <c r="AG9">
        <f t="shared" si="21"/>
        <v>178952.24100000004</v>
      </c>
      <c r="AH9">
        <f t="shared" si="21"/>
        <v>232637.91330000004</v>
      </c>
      <c r="AI9">
        <f t="shared" si="21"/>
        <v>302429.28729000007</v>
      </c>
      <c r="AJ9">
        <f t="shared" si="21"/>
        <v>393158.07347700011</v>
      </c>
      <c r="AK9">
        <f t="shared" si="21"/>
        <v>511105.49552010017</v>
      </c>
      <c r="AL9">
        <f t="shared" si="21"/>
        <v>664437.14417613018</v>
      </c>
      <c r="AM9">
        <f t="shared" si="21"/>
        <v>863768.2874289694</v>
      </c>
      <c r="AN9">
        <f t="shared" si="21"/>
        <v>1122898.7736576602</v>
      </c>
      <c r="AO9" s="6"/>
      <c r="AP9" s="13" t="s">
        <v>515</v>
      </c>
      <c r="AQ9">
        <f>B4*0.95/(H22+(B4*0.95))</f>
        <v>0.42061199620887307</v>
      </c>
      <c r="AR9" s="20"/>
      <c r="AS9" s="21"/>
      <c r="AT9" s="6"/>
      <c r="AU9" s="6"/>
      <c r="AV9" s="6"/>
      <c r="AY9" s="67" t="s">
        <v>106</v>
      </c>
      <c r="BE9">
        <f t="shared" si="0"/>
        <v>1.470368797767803</v>
      </c>
      <c r="BF9">
        <f t="shared" si="1"/>
        <v>6.8058712121212119</v>
      </c>
      <c r="BG9">
        <f t="shared" si="2"/>
        <v>-0.57932476844935765</v>
      </c>
      <c r="BH9">
        <f t="shared" si="3"/>
        <v>1.2155781112091792</v>
      </c>
      <c r="BI9">
        <f t="shared" si="4"/>
        <v>0.59241040056219252</v>
      </c>
      <c r="BJ9">
        <f t="shared" si="5"/>
        <v>-0.25184016824395372</v>
      </c>
      <c r="BK9">
        <f t="shared" si="6"/>
        <v>0.18504672897196262</v>
      </c>
      <c r="BL9">
        <f t="shared" si="7"/>
        <v>0.65977249224405377</v>
      </c>
      <c r="BM9">
        <f t="shared" si="8"/>
        <v>1.5890227576974565</v>
      </c>
      <c r="BN9">
        <f t="shared" si="9"/>
        <v>-1.5810276679841896E-2</v>
      </c>
      <c r="BO9">
        <f t="shared" si="10"/>
        <v>0.530241935483871</v>
      </c>
      <c r="BP9">
        <f t="shared" si="11"/>
        <v>-0.23480407281703183</v>
      </c>
      <c r="BQ9">
        <f t="shared" si="12"/>
        <v>-1.5424957581352622E-4</v>
      </c>
      <c r="BR9">
        <f t="shared" si="13"/>
        <v>1.5353930387172467</v>
      </c>
      <c r="BS9" t="e">
        <f t="shared" si="14"/>
        <v>#DIV/0!</v>
      </c>
    </row>
    <row r="10" spans="1:71" ht="14" customHeight="1" x14ac:dyDescent="0.2">
      <c r="A10" s="3" t="s">
        <v>47</v>
      </c>
      <c r="B10" s="47">
        <f>Statistics!B22</f>
        <v>17.93</v>
      </c>
      <c r="C10" s="6"/>
      <c r="D10" s="47" t="s">
        <v>2</v>
      </c>
      <c r="E10" s="30"/>
      <c r="F10" s="48">
        <f>VLOOKUP(AY10,'12QData'!$A$5:$W$218,2,FALSE)</f>
        <v>98281</v>
      </c>
      <c r="G10" s="52"/>
      <c r="H10" s="48">
        <f>VLOOKUP($D10,HData!$A$2:$AE$219,H$3,FALSE)</f>
        <v>83317</v>
      </c>
      <c r="I10" s="48">
        <f>VLOOKUP($D10,HData!$A$2:$AE$219,I$3,FALSE)</f>
        <v>34480</v>
      </c>
      <c r="J10" s="48">
        <f>VLOOKUP($D10,HData!$A$2:$AE$219,J$3,FALSE)</f>
        <v>5768</v>
      </c>
      <c r="K10" s="48">
        <f>VLOOKUP($D10,HData!$A$2:$AE$219,K$3,FALSE)</f>
        <v>11215</v>
      </c>
      <c r="L10" s="48">
        <f>VLOOKUP($D10,HData!$A$2:$AE$219,L$3,FALSE)</f>
        <v>5630</v>
      </c>
      <c r="M10" s="48">
        <f>VLOOKUP($D10,HData!$A$2:$AE$219,M$3,FALSE)</f>
        <v>3227</v>
      </c>
      <c r="N10" s="48">
        <f>VLOOKUP($D10,HData!$A$2:$AE$219,N$3,FALSE)</f>
        <v>4066</v>
      </c>
      <c r="O10" s="48">
        <f>VLOOKUP($D10,HData!$A$2:$AE$219,O$3,FALSE)</f>
        <v>3409</v>
      </c>
      <c r="P10" s="48">
        <f>VLOOKUP($D10,HData!$A$2:$AE$219,P$3,FALSE)</f>
        <v>2121</v>
      </c>
      <c r="Q10" s="48">
        <f>VLOOKUP($D10,HData!$A$2:$AE$219,Q$3,FALSE)</f>
        <v>944</v>
      </c>
      <c r="R10" s="48">
        <f>VLOOKUP($D10,HData!$A$2:$AE$219,R$3,FALSE)</f>
        <v>979</v>
      </c>
      <c r="S10" s="48">
        <f>VLOOKUP($D10,HData!$A$2:$AE$219,S$3,FALSE)</f>
        <v>735</v>
      </c>
      <c r="T10" s="48">
        <f>VLOOKUP($D10,HData!$A$2:$AE$219,T$3,FALSE)</f>
        <v>874.5</v>
      </c>
      <c r="U10" s="48">
        <f>VLOOKUP($D10,HData!$A$2:$AE$219,U$3,FALSE)</f>
        <v>852.5</v>
      </c>
      <c r="V10" s="48">
        <f>VLOOKUP($D10,HData!$A$2:$AE$219,V$3,FALSE)</f>
        <v>442.7</v>
      </c>
      <c r="W10" s="30"/>
      <c r="X10" s="58">
        <f t="shared" si="15"/>
        <v>1.5290335366163341</v>
      </c>
      <c r="Y10" s="58">
        <f t="shared" si="16"/>
        <v>1.4163863109048724</v>
      </c>
      <c r="Z10" s="58">
        <f t="shared" si="17"/>
        <v>13.798756660746003</v>
      </c>
      <c r="AA10" s="58">
        <f t="shared" si="18"/>
        <v>87.259533898305079</v>
      </c>
      <c r="AB10" s="6"/>
      <c r="AC10" t="s">
        <v>509</v>
      </c>
      <c r="AD10" s="13">
        <f t="shared" ref="AD10:AD13" si="22">AD29</f>
        <v>0.53704040092875704</v>
      </c>
      <c r="AE10">
        <f>AE8*$AD$10</f>
        <v>91106.809560000009</v>
      </c>
      <c r="AF10">
        <f t="shared" ref="AF10:AN10" si="23">AF8*$AD$10</f>
        <v>118438.85242800003</v>
      </c>
      <c r="AG10">
        <f t="shared" si="23"/>
        <v>153970.50815640003</v>
      </c>
      <c r="AH10">
        <f t="shared" si="23"/>
        <v>200161.66060332005</v>
      </c>
      <c r="AI10">
        <f t="shared" si="23"/>
        <v>260210.1587843161</v>
      </c>
      <c r="AJ10">
        <f t="shared" si="23"/>
        <v>338273.20641961088</v>
      </c>
      <c r="AK10">
        <f t="shared" si="23"/>
        <v>439755.1683454942</v>
      </c>
      <c r="AL10">
        <f t="shared" si="23"/>
        <v>571681.71884914243</v>
      </c>
      <c r="AM10">
        <f t="shared" si="23"/>
        <v>743186.23450388527</v>
      </c>
      <c r="AN10">
        <f t="shared" si="23"/>
        <v>966142.10485505091</v>
      </c>
      <c r="AO10" s="6"/>
      <c r="AP10" s="6"/>
      <c r="AQ10" s="6"/>
      <c r="AR10" s="20"/>
      <c r="AS10" s="21"/>
      <c r="AT10" s="6"/>
      <c r="AU10" s="6"/>
      <c r="AV10" s="6"/>
      <c r="AY10" s="67" t="s">
        <v>2</v>
      </c>
      <c r="BE10">
        <f t="shared" si="0"/>
        <v>1.4163863109048724</v>
      </c>
      <c r="BF10">
        <f t="shared" si="1"/>
        <v>4.9778085991678225</v>
      </c>
      <c r="BG10">
        <f t="shared" si="2"/>
        <v>-0.48568880962995986</v>
      </c>
      <c r="BH10">
        <f t="shared" si="3"/>
        <v>0.99200710479573717</v>
      </c>
      <c r="BI10">
        <f t="shared" si="4"/>
        <v>0.74465447784319805</v>
      </c>
      <c r="BJ10">
        <f t="shared" si="5"/>
        <v>-0.20634530250860797</v>
      </c>
      <c r="BK10">
        <f t="shared" si="6"/>
        <v>0.19272513933704899</v>
      </c>
      <c r="BL10">
        <f t="shared" si="7"/>
        <v>0.60726072607260728</v>
      </c>
      <c r="BM10">
        <f t="shared" si="8"/>
        <v>1.2468220338983051</v>
      </c>
      <c r="BN10">
        <f t="shared" si="9"/>
        <v>-3.5750766087844742E-2</v>
      </c>
      <c r="BO10">
        <f t="shared" si="10"/>
        <v>0.33197278911564626</v>
      </c>
      <c r="BP10">
        <f t="shared" si="11"/>
        <v>-0.15951972555746141</v>
      </c>
      <c r="BQ10">
        <f t="shared" si="12"/>
        <v>2.5806451612903226E-2</v>
      </c>
      <c r="BR10">
        <f t="shared" si="13"/>
        <v>0.92568330697989609</v>
      </c>
      <c r="BS10" t="e">
        <f t="shared" si="14"/>
        <v>#DIV/0!</v>
      </c>
    </row>
    <row r="11" spans="1:71" ht="14" customHeight="1" x14ac:dyDescent="0.2">
      <c r="A11" s="3" t="s">
        <v>347</v>
      </c>
      <c r="B11" s="47">
        <f>Statistics!B23</f>
        <v>45.29</v>
      </c>
      <c r="C11" s="6"/>
      <c r="D11" s="47" t="s">
        <v>303</v>
      </c>
      <c r="E11" s="30"/>
      <c r="F11" s="55">
        <f>VLOOKUP(AY11,'12QData'!$A$5:$W$218,2,FALSE)</f>
        <v>0.69850000000000001</v>
      </c>
      <c r="G11" s="56"/>
      <c r="H11" s="55">
        <f>VLOOKUP($D11,HData!$A$2:$AE$219,H$3,FALSE)</f>
        <v>0.74990000000000001</v>
      </c>
      <c r="I11" s="55">
        <f>VLOOKUP($D11,HData!$A$2:$AE$219,I$3,FALSE)</f>
        <v>0.72719999999999996</v>
      </c>
      <c r="J11" s="55">
        <f>VLOOKUP($D11,HData!$A$2:$AE$219,J$3,FALSE)</f>
        <v>0.56930000000000003</v>
      </c>
      <c r="K11" s="55">
        <f>VLOOKUP($D11,HData!$A$2:$AE$219,K$3,FALSE)</f>
        <v>0.64929999999999999</v>
      </c>
      <c r="L11" s="55">
        <f>VLOOKUP($D11,HData!$A$2:$AE$219,L$3,FALSE)</f>
        <v>0.62339999999999995</v>
      </c>
      <c r="M11" s="55">
        <f>VLOOKUP($D11,HData!$A$2:$AE$219,M$3,FALSE)</f>
        <v>0.61990000000000001</v>
      </c>
      <c r="N11" s="55">
        <f>VLOOKUP($D11,HData!$A$2:$AE$219,N$3,FALSE)</f>
        <v>0.61209999999999998</v>
      </c>
      <c r="O11" s="55">
        <f>VLOOKUP($D11,HData!$A$2:$AE$219,O$3,FALSE)</f>
        <v>0.59930000000000005</v>
      </c>
      <c r="P11" s="55">
        <f>VLOOKUP($D11,HData!$A$2:$AE$219,P$3,FALSE)</f>
        <v>0.58799999999999997</v>
      </c>
      <c r="Q11" s="55">
        <f>VLOOKUP($D11,HData!$A$2:$AE$219,Q$3,FALSE)</f>
        <v>0.56110000000000004</v>
      </c>
      <c r="R11" s="55">
        <f>VLOOKUP($D11,HData!$A$2:$AE$219,R$3,FALSE)</f>
        <v>0.55510000000000004</v>
      </c>
      <c r="S11" s="55">
        <f>VLOOKUP($D11,HData!$A$2:$AE$219,S$3,FALSE)</f>
        <v>0.54920000000000002</v>
      </c>
      <c r="T11" s="55">
        <f>VLOOKUP($D11,HData!$A$2:$AE$219,T$3,FALSE)</f>
        <v>0.5202</v>
      </c>
      <c r="U11" s="55">
        <f>VLOOKUP($D11,HData!$A$2:$AE$219,U$3,FALSE)</f>
        <v>0.51439999999999997</v>
      </c>
      <c r="V11" s="55">
        <f>VLOOKUP($D11,HData!$A$2:$AE$219,V$3,FALSE)</f>
        <v>0.3977</v>
      </c>
      <c r="W11" s="30"/>
      <c r="X11" s="58">
        <f t="shared" si="15"/>
        <v>4.6511320196132071E-2</v>
      </c>
      <c r="Y11" s="58">
        <f t="shared" si="16"/>
        <v>3.1215621562156293E-2</v>
      </c>
      <c r="Z11" s="58">
        <f t="shared" si="17"/>
        <v>0.20291947385306394</v>
      </c>
      <c r="AA11" s="58">
        <f t="shared" si="18"/>
        <v>0.33648191053288173</v>
      </c>
      <c r="AB11" s="6"/>
      <c r="AC11" s="13" t="s">
        <v>521</v>
      </c>
      <c r="AD11" s="13">
        <f t="shared" si="22"/>
        <v>1.4283853268657517E-2</v>
      </c>
      <c r="AE11" s="9">
        <f>AE8*$AD$11</f>
        <v>2423.2000000000003</v>
      </c>
      <c r="AF11" s="9">
        <f t="shared" ref="AF11:AN11" si="24">AF8*$AD$11</f>
        <v>3150.1600000000003</v>
      </c>
      <c r="AG11" s="9">
        <f>AG8*$AD$11</f>
        <v>4095.2080000000005</v>
      </c>
      <c r="AH11" s="9">
        <f t="shared" si="24"/>
        <v>5323.7704000000012</v>
      </c>
      <c r="AI11" s="9">
        <f t="shared" si="24"/>
        <v>6920.9015200000013</v>
      </c>
      <c r="AJ11" s="9">
        <f t="shared" si="24"/>
        <v>8997.1719760000015</v>
      </c>
      <c r="AK11" s="9">
        <f t="shared" si="24"/>
        <v>11696.323568800002</v>
      </c>
      <c r="AL11" s="9">
        <f t="shared" si="24"/>
        <v>15205.220639440004</v>
      </c>
      <c r="AM11" s="9">
        <f>AM8*$AD$11</f>
        <v>19766.786831272006</v>
      </c>
      <c r="AN11" s="9">
        <f t="shared" si="24"/>
        <v>25696.82288065361</v>
      </c>
      <c r="AO11" s="6"/>
      <c r="AP11" s="13" t="s">
        <v>616</v>
      </c>
      <c r="AQ11">
        <f>AQ8*AQ6+AQ9*AQ7</f>
        <v>0.10339067444733147</v>
      </c>
      <c r="AR11" s="20"/>
      <c r="AS11" s="21"/>
      <c r="AT11" s="6"/>
      <c r="AU11" s="6"/>
      <c r="AV11" s="6"/>
      <c r="AY11" s="67" t="s">
        <v>36</v>
      </c>
      <c r="BE11">
        <f t="shared" si="0"/>
        <v>3.1215621562156293E-2</v>
      </c>
      <c r="BF11">
        <f t="shared" si="1"/>
        <v>0.27735815914280681</v>
      </c>
      <c r="BG11">
        <f t="shared" si="2"/>
        <v>-0.12320961034960722</v>
      </c>
      <c r="BH11">
        <f t="shared" si="3"/>
        <v>4.1546358678216294E-2</v>
      </c>
      <c r="BI11">
        <f t="shared" si="4"/>
        <v>5.6460719470881552E-3</v>
      </c>
      <c r="BJ11">
        <f t="shared" si="5"/>
        <v>1.2743015847083858E-2</v>
      </c>
      <c r="BK11">
        <f t="shared" si="6"/>
        <v>2.1358251293175239E-2</v>
      </c>
      <c r="BL11">
        <f t="shared" si="7"/>
        <v>1.9217687074830084E-2</v>
      </c>
      <c r="BM11">
        <f t="shared" si="8"/>
        <v>4.7941543396898809E-2</v>
      </c>
      <c r="BN11">
        <f t="shared" si="9"/>
        <v>1.080886326787967E-2</v>
      </c>
      <c r="BO11">
        <f t="shared" si="10"/>
        <v>1.0742898761835427E-2</v>
      </c>
      <c r="BP11">
        <f t="shared" si="11"/>
        <v>5.57477893118032E-2</v>
      </c>
      <c r="BQ11">
        <f t="shared" si="12"/>
        <v>1.1275272161741888E-2</v>
      </c>
      <c r="BR11">
        <f t="shared" si="13"/>
        <v>0.29343726426954986</v>
      </c>
      <c r="BS11" t="e">
        <f t="shared" si="14"/>
        <v>#DIV/0!</v>
      </c>
    </row>
    <row r="12" spans="1:71" ht="14" customHeight="1" x14ac:dyDescent="0.2">
      <c r="A12" s="3" t="s">
        <v>348</v>
      </c>
      <c r="B12" s="47">
        <f>Statistics!B25</f>
        <v>62.84</v>
      </c>
      <c r="C12" s="6"/>
      <c r="D12" s="47" t="s">
        <v>304</v>
      </c>
      <c r="E12" s="30"/>
      <c r="F12" s="55">
        <f>VLOOKUP(AY14,'12QData'!$A$5:$W$218,2,FALSE)</f>
        <v>0.58089999999999997</v>
      </c>
      <c r="G12" s="56"/>
      <c r="H12" s="55">
        <f>VLOOKUP($D12,HData!$A$2:$AE$219,H$3,FALSE)</f>
        <v>0.62419999999999998</v>
      </c>
      <c r="I12" s="55">
        <f>VLOOKUP($D12,HData!$A$2:$AE$219,I$3,FALSE)</f>
        <v>0.54120000000000001</v>
      </c>
      <c r="J12" s="55">
        <f>VLOOKUP($D12,HData!$A$2:$AE$219,J$3,FALSE)</f>
        <v>0.15659999999999999</v>
      </c>
      <c r="K12" s="55">
        <f>VLOOKUP($D12,HData!$A$2:$AE$219,K$3,FALSE)</f>
        <v>0.37309999999999999</v>
      </c>
      <c r="L12" s="55">
        <f>VLOOKUP($D12,HData!$A$2:$AE$219,L$3,FALSE)</f>
        <v>0.27179999999999999</v>
      </c>
      <c r="M12" s="55">
        <f>VLOOKUP($D12,HData!$A$2:$AE$219,M$3,FALSE)</f>
        <v>0.26069999999999999</v>
      </c>
      <c r="N12" s="55">
        <f>VLOOKUP($D12,HData!$A$2:$AE$219,N$3,FALSE)</f>
        <v>0.32469999999999999</v>
      </c>
      <c r="O12" s="55">
        <f>VLOOKUP($D12,HData!$A$2:$AE$219,O$3,FALSE)</f>
        <v>0.33050000000000002</v>
      </c>
      <c r="P12" s="55">
        <f>VLOOKUP($D12,HData!$A$2:$AE$219,P$3,FALSE)</f>
        <v>0.27989999999999998</v>
      </c>
      <c r="Q12" s="55">
        <f>VLOOKUP($D12,HData!$A$2:$AE$219,Q$3,FALSE)</f>
        <v>0.14910000000000001</v>
      </c>
      <c r="R12" s="55">
        <f>VLOOKUP($D12,HData!$A$2:$AE$219,R$3,FALSE)</f>
        <v>0.16209999999999999</v>
      </c>
      <c r="S12" s="55">
        <f>VLOOKUP($D12,HData!$A$2:$AE$219,S$3,FALSE)</f>
        <v>0.1201</v>
      </c>
      <c r="T12" s="55">
        <f>VLOOKUP($D12,HData!$A$2:$AE$219,T$3,FALSE)</f>
        <v>0.1515</v>
      </c>
      <c r="U12" s="55">
        <f>VLOOKUP($D12,HData!$A$2:$AE$219,U$3,FALSE)</f>
        <v>0.16220000000000001</v>
      </c>
      <c r="V12" s="55">
        <f>VLOOKUP($D12,HData!$A$2:$AE$219,V$3,FALSE)</f>
        <v>7.22E-2</v>
      </c>
      <c r="W12" s="30"/>
      <c r="X12" s="58">
        <f t="shared" si="15"/>
        <v>0.48886128000111989</v>
      </c>
      <c r="Y12" s="58">
        <f t="shared" si="16"/>
        <v>0.15336289726533622</v>
      </c>
      <c r="Z12" s="58">
        <f t="shared" si="17"/>
        <v>1.2965415746872702</v>
      </c>
      <c r="AA12" s="58">
        <f t="shared" si="18"/>
        <v>3.1864520456069747</v>
      </c>
      <c r="AB12" s="6"/>
      <c r="AC12" s="13" t="s">
        <v>508</v>
      </c>
      <c r="AD12" s="13">
        <f t="shared" si="22"/>
        <v>-2.4797504923484832E-2</v>
      </c>
      <c r="AE12">
        <f>AE8*$AD$12</f>
        <v>-4206.8</v>
      </c>
      <c r="AF12">
        <f>AF8*$AD$12</f>
        <v>-5468.8400000000011</v>
      </c>
      <c r="AG12">
        <f t="shared" ref="AG12:AN12" si="25">AG8*$AD$12</f>
        <v>-7109.4920000000011</v>
      </c>
      <c r="AH12">
        <f t="shared" si="25"/>
        <v>-9242.3396000000012</v>
      </c>
      <c r="AI12">
        <f t="shared" si="25"/>
        <v>-12015.041480000004</v>
      </c>
      <c r="AJ12">
        <f t="shared" si="25"/>
        <v>-15619.553924000003</v>
      </c>
      <c r="AK12">
        <f>AK8*$AD$12</f>
        <v>-20305.420101200005</v>
      </c>
      <c r="AL12">
        <f t="shared" si="25"/>
        <v>-26397.046131560008</v>
      </c>
      <c r="AM12">
        <f t="shared" si="25"/>
        <v>-34316.159971028013</v>
      </c>
      <c r="AN12">
        <f t="shared" si="25"/>
        <v>-44611.007962336414</v>
      </c>
      <c r="AO12" s="6"/>
      <c r="AP12" s="6"/>
      <c r="AQ12" s="6"/>
      <c r="AR12" s="20"/>
      <c r="AS12" s="21"/>
      <c r="AT12" s="6"/>
      <c r="AU12" s="6"/>
      <c r="AV12" s="6"/>
      <c r="AY12" s="67" t="s">
        <v>38</v>
      </c>
      <c r="BE12">
        <f t="shared" si="0"/>
        <v>0.15336289726533622</v>
      </c>
      <c r="BF12">
        <f t="shared" si="1"/>
        <v>2.455938697318008</v>
      </c>
      <c r="BG12">
        <f t="shared" si="2"/>
        <v>-0.5802733851514339</v>
      </c>
      <c r="BH12">
        <f t="shared" si="3"/>
        <v>0.37270051508462104</v>
      </c>
      <c r="BI12">
        <f t="shared" si="4"/>
        <v>4.2577675489067893E-2</v>
      </c>
      <c r="BJ12">
        <f t="shared" si="5"/>
        <v>-0.1971050200184786</v>
      </c>
      <c r="BK12">
        <f t="shared" si="6"/>
        <v>-1.7549167927382835E-2</v>
      </c>
      <c r="BL12">
        <f t="shared" si="7"/>
        <v>0.18077884958913912</v>
      </c>
      <c r="BM12">
        <f t="shared" si="8"/>
        <v>0.87726358148893335</v>
      </c>
      <c r="BN12">
        <f t="shared" si="9"/>
        <v>-8.0197409006785833E-2</v>
      </c>
      <c r="BO12">
        <f t="shared" si="10"/>
        <v>0.34970857618651119</v>
      </c>
      <c r="BP12">
        <f t="shared" si="11"/>
        <v>-0.20726072607260726</v>
      </c>
      <c r="BQ12">
        <f t="shared" si="12"/>
        <v>-6.5967940813810202E-2</v>
      </c>
      <c r="BR12">
        <f t="shared" si="13"/>
        <v>1.2465373961218837</v>
      </c>
      <c r="BS12" t="e">
        <f t="shared" si="14"/>
        <v>#DIV/0!</v>
      </c>
    </row>
    <row r="13" spans="1:71" ht="14" customHeight="1" x14ac:dyDescent="0.2">
      <c r="A13" s="3" t="s">
        <v>349</v>
      </c>
      <c r="B13" s="47">
        <f>Statistics!B26</f>
        <v>58.75</v>
      </c>
      <c r="C13" s="6"/>
      <c r="D13" s="47" t="s">
        <v>107</v>
      </c>
      <c r="E13" s="30"/>
      <c r="F13" s="55"/>
      <c r="G13" s="56"/>
      <c r="H13" s="48">
        <f>VLOOKUP($D13,HData!$A$2:$AE$219,H$3,FALSE)</f>
        <v>247</v>
      </c>
      <c r="I13" s="48">
        <f>VLOOKUP($D13,HData!$A$2:$AE$219,I$3,FALSE)</f>
        <v>257</v>
      </c>
      <c r="J13" s="48">
        <f>VLOOKUP($D13,HData!$A$2:$AE$219,J$3,FALSE)</f>
        <v>262</v>
      </c>
      <c r="K13" s="48">
        <f>VLOOKUP($D13,HData!$A$2:$AE$219,K$3,FALSE)</f>
        <v>236</v>
      </c>
      <c r="L13" s="48">
        <f>VLOOKUP($D13,HData!$A$2:$AE$219,L$3,FALSE)</f>
        <v>184</v>
      </c>
      <c r="M13" s="48">
        <f>VLOOKUP($D13,HData!$A$2:$AE$219,M$3,FALSE)</f>
        <v>52</v>
      </c>
      <c r="N13" s="48">
        <f>VLOOKUP($D13,HData!$A$2:$AE$219,N$3,FALSE)</f>
        <v>58</v>
      </c>
      <c r="O13" s="48">
        <f>VLOOKUP($D13,HData!$A$2:$AE$219,O$3,FALSE)</f>
        <v>61</v>
      </c>
      <c r="P13" s="48">
        <f>VLOOKUP($D13,HData!$A$2:$AE$219,P$3,FALSE)</f>
        <v>58</v>
      </c>
      <c r="Q13" s="48">
        <f>VLOOKUP($D13,HData!$A$2:$AE$219,Q$3,FALSE)</f>
        <v>47</v>
      </c>
      <c r="R13" s="48">
        <f>VLOOKUP($D13,HData!$A$2:$AE$219,R$3,FALSE)</f>
        <v>46</v>
      </c>
      <c r="S13" s="48">
        <f>VLOOKUP($D13,HData!$A$2:$AE$219,S$3,FALSE)</f>
        <v>10</v>
      </c>
      <c r="T13" s="48">
        <f>VLOOKUP($D13,HData!$A$2:$AE$219,T$3,FALSE)</f>
        <v>3.29</v>
      </c>
      <c r="U13" s="48">
        <f>VLOOKUP($D13,HData!$A$2:$AE$219,U$3,FALSE)</f>
        <v>3.09</v>
      </c>
      <c r="V13" s="48">
        <f>VLOOKUP($D13,HData!$A$2:$AE$219,V$3,FALSE)</f>
        <v>3.13</v>
      </c>
      <c r="W13" s="30"/>
      <c r="X13" s="58"/>
      <c r="Y13" s="58"/>
      <c r="Z13" s="58"/>
      <c r="AA13" s="58"/>
      <c r="AB13" s="6"/>
      <c r="AC13" s="13" t="s">
        <v>520</v>
      </c>
      <c r="AD13" s="13">
        <f t="shared" si="22"/>
        <v>0.21736131865100347</v>
      </c>
      <c r="AE13">
        <f>AE8*$AD$13</f>
        <v>36874.5</v>
      </c>
      <c r="AF13">
        <f t="shared" ref="AF13:AN13" si="26">AF8*$AD$13</f>
        <v>47936.850000000006</v>
      </c>
      <c r="AG13">
        <f t="shared" si="26"/>
        <v>62317.905000000006</v>
      </c>
      <c r="AH13">
        <f t="shared" si="26"/>
        <v>81013.276500000007</v>
      </c>
      <c r="AI13">
        <f t="shared" si="26"/>
        <v>105317.25945000003</v>
      </c>
      <c r="AJ13">
        <f t="shared" si="26"/>
        <v>136912.43728500002</v>
      </c>
      <c r="AK13">
        <f t="shared" si="26"/>
        <v>177986.16847050004</v>
      </c>
      <c r="AL13">
        <f t="shared" si="26"/>
        <v>231382.01901165006</v>
      </c>
      <c r="AM13">
        <f t="shared" si="26"/>
        <v>300796.6247151451</v>
      </c>
      <c r="AN13">
        <f t="shared" si="26"/>
        <v>391035.61212968867</v>
      </c>
      <c r="AO13" s="6"/>
      <c r="AP13" s="6"/>
      <c r="AQ13" s="6"/>
      <c r="AR13" s="20"/>
      <c r="AS13" s="21"/>
      <c r="AT13" s="6"/>
      <c r="AU13" s="6"/>
      <c r="AV13" s="6"/>
      <c r="AY13" s="67"/>
    </row>
    <row r="14" spans="1:71" ht="14" customHeight="1" x14ac:dyDescent="0.2">
      <c r="A14" s="3" t="s">
        <v>350</v>
      </c>
      <c r="B14" s="47">
        <f>Statistics!B27</f>
        <v>0.91</v>
      </c>
      <c r="C14" s="6"/>
      <c r="D14" s="39" t="s">
        <v>306</v>
      </c>
      <c r="E14" s="30"/>
      <c r="F14" s="55">
        <f>F8/F6</f>
        <v>0.52413780580808389</v>
      </c>
      <c r="G14" s="56"/>
      <c r="H14" s="55">
        <f>VLOOKUP($D14,HData!$A$2:$AE$219,H$3,FALSE)</f>
        <v>0.5585</v>
      </c>
      <c r="I14" s="55">
        <f>VLOOKUP($D14,HData!$A$2:$AE$219,I$3,FALSE)</f>
        <v>0.48849999999999999</v>
      </c>
      <c r="J14" s="55">
        <f>VLOOKUP($D14,HData!$A$2:$AE$219,J$3,FALSE)</f>
        <v>0.16189999999999999</v>
      </c>
      <c r="K14" s="55">
        <f>VLOOKUP($D14,HData!$A$2:$AE$219,K$3,FALSE)</f>
        <v>0.36230000000000001</v>
      </c>
      <c r="L14" s="55">
        <f>VLOOKUP($D14,HData!$A$2:$AE$219,L$3,FALSE)</f>
        <v>0.25979999999999998</v>
      </c>
      <c r="M14" s="55">
        <f>VLOOKUP($D14,HData!$A$2:$AE$219,M$3,FALSE)</f>
        <v>0.25609999999999999</v>
      </c>
      <c r="N14" s="55">
        <f>VLOOKUP($D14,HData!$A$2:$AE$219,N$3,FALSE)</f>
        <v>0.35339999999999999</v>
      </c>
      <c r="O14" s="55">
        <f>VLOOKUP($D14,HData!$A$2:$AE$219,O$3,FALSE)</f>
        <v>0.31369999999999998</v>
      </c>
      <c r="P14" s="55">
        <f>VLOOKUP($D14,HData!$A$2:$AE$219,P$3,FALSE)</f>
        <v>0.24110000000000001</v>
      </c>
      <c r="Q14" s="55">
        <f>VLOOKUP($D14,HData!$A$2:$AE$219,Q$3,FALSE)</f>
        <v>0.1226</v>
      </c>
      <c r="R14" s="55">
        <f>VLOOKUP($D14,HData!$A$2:$AE$219,R$3,FALSE)</f>
        <v>0.1348</v>
      </c>
      <c r="S14" s="55">
        <f>VLOOKUP($D14,HData!$A$2:$AE$219,S$3,FALSE)</f>
        <v>0.1065</v>
      </c>
      <c r="T14" s="55">
        <f>VLOOKUP($D14,HData!$A$2:$AE$219,T$3,FALSE)</f>
        <v>0.13139999999999999</v>
      </c>
      <c r="U14" s="55">
        <f>VLOOKUP($D14,HData!$A$2:$AE$219,U$3,FALSE)</f>
        <v>0.14530000000000001</v>
      </c>
      <c r="V14" s="55">
        <f>VLOOKUP($D14,HData!$A$2:$AE$219,V$3,FALSE)</f>
        <v>7.1400000000000005E-2</v>
      </c>
      <c r="W14" s="30"/>
      <c r="X14" s="58">
        <f t="shared" si="15"/>
        <v>0.40328788109246572</v>
      </c>
      <c r="Y14" s="58">
        <f t="shared" si="16"/>
        <v>0.14329580348004095</v>
      </c>
      <c r="Z14" s="58">
        <f t="shared" si="17"/>
        <v>1.149730561970747</v>
      </c>
      <c r="AA14" s="58">
        <f t="shared" si="18"/>
        <v>3.5554649265905383</v>
      </c>
      <c r="AB14" s="6"/>
      <c r="AC14" s="24"/>
      <c r="AD14" s="79"/>
      <c r="AE14" s="6"/>
      <c r="AF14" s="6"/>
      <c r="AG14" s="6"/>
      <c r="AH14" s="6"/>
      <c r="AI14" s="6"/>
      <c r="AJ14" s="6"/>
      <c r="AK14" s="6"/>
      <c r="AL14" s="6"/>
      <c r="AM14" s="6"/>
      <c r="AN14" s="6"/>
      <c r="AO14" s="6"/>
      <c r="AP14" s="6"/>
      <c r="AQ14" s="6"/>
      <c r="AR14" s="20"/>
      <c r="AS14" s="21"/>
      <c r="AT14" s="21"/>
      <c r="AU14" s="21"/>
      <c r="AV14" s="21"/>
      <c r="AY14" s="67" t="s">
        <v>37</v>
      </c>
      <c r="BE14">
        <f t="shared" si="0"/>
        <v>0.14329580348004095</v>
      </c>
      <c r="BF14">
        <f t="shared" si="1"/>
        <v>2.0172946263125389</v>
      </c>
      <c r="BG14">
        <f t="shared" si="2"/>
        <v>-0.55313276290367108</v>
      </c>
      <c r="BH14">
        <f t="shared" si="3"/>
        <v>0.39453425712086237</v>
      </c>
      <c r="BI14">
        <f t="shared" si="4"/>
        <v>1.4447481452557521E-2</v>
      </c>
      <c r="BJ14">
        <f t="shared" si="5"/>
        <v>-0.2753254102999434</v>
      </c>
      <c r="BK14">
        <f t="shared" si="6"/>
        <v>0.12655403251514191</v>
      </c>
      <c r="BL14">
        <f t="shared" si="7"/>
        <v>0.30111986727498952</v>
      </c>
      <c r="BM14">
        <f t="shared" si="8"/>
        <v>0.96655791190864604</v>
      </c>
      <c r="BN14">
        <f t="shared" si="9"/>
        <v>-9.0504451038575684E-2</v>
      </c>
      <c r="BO14">
        <f t="shared" si="10"/>
        <v>0.2657276995305165</v>
      </c>
      <c r="BP14">
        <f t="shared" si="11"/>
        <v>-0.18949771689497713</v>
      </c>
      <c r="BQ14">
        <f t="shared" si="12"/>
        <v>-9.5664143152099257E-2</v>
      </c>
      <c r="BR14">
        <f t="shared" si="13"/>
        <v>1.035014005602241</v>
      </c>
      <c r="BS14" t="e">
        <f t="shared" si="14"/>
        <v>#DIV/0!</v>
      </c>
    </row>
    <row r="15" spans="1:71" ht="14" customHeight="1" x14ac:dyDescent="0.2">
      <c r="A15" s="3" t="s">
        <v>48</v>
      </c>
      <c r="B15" s="47">
        <f>Statistics!B29</f>
        <v>51.73</v>
      </c>
      <c r="C15" s="6"/>
      <c r="D15" s="39" t="s">
        <v>231</v>
      </c>
      <c r="E15" s="30"/>
      <c r="F15" s="48" t="e">
        <f>VLOOKUP(D15,'12QData'!$A$5:$W$218,2,FALSE)</f>
        <v>#N/A</v>
      </c>
      <c r="G15" s="56"/>
      <c r="H15" s="48">
        <f>VLOOKUP($D15,HData!$A$2:$AE$219,H$3,FALSE)</f>
        <v>1864</v>
      </c>
      <c r="I15" s="48">
        <f>VLOOKUP($D15,HData!$A$2:$AE$219,I$3,FALSE)</f>
        <v>1508</v>
      </c>
      <c r="J15" s="48">
        <f>VLOOKUP($D15,HData!$A$2:$AE$219,J$3,FALSE)</f>
        <v>1544</v>
      </c>
      <c r="K15" s="48">
        <f>VLOOKUP($D15,HData!$A$2:$AE$219,K$3,FALSE)</f>
        <v>1174</v>
      </c>
      <c r="L15" s="48">
        <f>VLOOKUP($D15,HData!$A$2:$AE$219,L$3,FALSE)</f>
        <v>1098</v>
      </c>
      <c r="M15" s="48">
        <f>VLOOKUP($D15,HData!$A$2:$AE$219,M$3,FALSE)</f>
        <v>381</v>
      </c>
      <c r="N15" s="48">
        <f>VLOOKUP($D15,HData!$A$2:$AE$219,N$3,FALSE)</f>
        <v>262</v>
      </c>
      <c r="O15" s="48">
        <f>VLOOKUP($D15,HData!$A$2:$AE$219,O$3,FALSE)</f>
        <v>199</v>
      </c>
      <c r="P15" s="48">
        <f>VLOOKUP($D15,HData!$A$2:$AE$219,P$3,FALSE)</f>
        <v>187</v>
      </c>
      <c r="Q15" s="48">
        <f>VLOOKUP($D15,HData!$A$2:$AE$219,Q$3,FALSE)</f>
        <v>197</v>
      </c>
      <c r="R15" s="48">
        <f>VLOOKUP($D15,HData!$A$2:$AE$219,R$3,FALSE)</f>
        <v>220</v>
      </c>
      <c r="S15" s="48">
        <f>VLOOKUP($D15,HData!$A$2:$AE$219,S$3,FALSE)</f>
        <v>239</v>
      </c>
      <c r="T15" s="48">
        <f>VLOOKUP($D15,HData!$A$2:$AE$219,T$3,FALSE)</f>
        <v>226.2</v>
      </c>
      <c r="U15" s="48">
        <f>VLOOKUP($D15,HData!$A$2:$AE$219,U$3,FALSE)</f>
        <v>204.2</v>
      </c>
      <c r="V15" s="48">
        <f>VLOOKUP($D15,HData!$A$2:$AE$219,V$3,FALSE)</f>
        <v>187</v>
      </c>
      <c r="W15" s="30"/>
      <c r="X15" s="58"/>
      <c r="Y15" s="58"/>
      <c r="Z15" s="58"/>
      <c r="AA15" s="58"/>
      <c r="AB15" s="6"/>
      <c r="AC15" s="13" t="s">
        <v>510</v>
      </c>
      <c r="AD15" s="75"/>
      <c r="AE15" s="75">
        <f>AE10+AE11+AE13-AE12</f>
        <v>134611.30955999999</v>
      </c>
      <c r="AF15">
        <f t="shared" ref="AF15:AN15" si="27">AF10+AF11-AF13-AF12</f>
        <v>79121.002428000022</v>
      </c>
      <c r="AG15">
        <f t="shared" si="27"/>
        <v>102857.30315640004</v>
      </c>
      <c r="AH15">
        <f t="shared" si="27"/>
        <v>133714.49410332006</v>
      </c>
      <c r="AI15">
        <f t="shared" si="27"/>
        <v>173828.84233431611</v>
      </c>
      <c r="AJ15">
        <f t="shared" si="27"/>
        <v>225977.49503461088</v>
      </c>
      <c r="AK15">
        <f t="shared" si="27"/>
        <v>293770.74354499415</v>
      </c>
      <c r="AL15">
        <f t="shared" si="27"/>
        <v>381901.96660849237</v>
      </c>
      <c r="AM15">
        <f t="shared" si="27"/>
        <v>496472.55659104011</v>
      </c>
      <c r="AN15">
        <f t="shared" si="27"/>
        <v>645414.32356835238</v>
      </c>
      <c r="AO15" s="6"/>
      <c r="AP15" s="6"/>
      <c r="AQ15" s="6"/>
      <c r="AR15" s="20"/>
      <c r="AS15" s="21"/>
      <c r="AT15" s="21"/>
      <c r="AU15" s="21"/>
      <c r="AV15" s="21"/>
      <c r="AY15" s="67"/>
    </row>
    <row r="16" spans="1:71" x14ac:dyDescent="0.2">
      <c r="A16" s="3" t="s">
        <v>49</v>
      </c>
      <c r="B16" s="47">
        <f>Statistics!B30</f>
        <v>27.12</v>
      </c>
      <c r="C16" s="6"/>
      <c r="D16" s="39" t="s">
        <v>215</v>
      </c>
      <c r="E16" s="30"/>
      <c r="F16" s="48">
        <f>VLOOKUP(AY16,'12QData'!$A$5:$W$218,2,FALSE)</f>
        <v>15384</v>
      </c>
      <c r="G16" s="52"/>
      <c r="H16" s="48">
        <f>VLOOKUP($D16,HData!$A$2:$AE$219,H$3,FALSE)</f>
        <v>12914</v>
      </c>
      <c r="I16" s="48">
        <f>VLOOKUP($D16,HData!$A$2:$AE$219,I$3,FALSE)</f>
        <v>8675</v>
      </c>
      <c r="J16" s="48">
        <f>VLOOKUP($D16,HData!$A$2:$AE$219,J$3,FALSE)</f>
        <v>7339</v>
      </c>
      <c r="K16" s="48">
        <f>VLOOKUP($D16,HData!$A$2:$AE$219,K$3,FALSE)</f>
        <v>5268</v>
      </c>
      <c r="L16" s="48">
        <f>VLOOKUP($D16,HData!$A$2:$AE$219,L$3,FALSE)</f>
        <v>3924</v>
      </c>
      <c r="M16" s="48">
        <f>VLOOKUP($D16,HData!$A$2:$AE$219,M$3,FALSE)</f>
        <v>2829</v>
      </c>
      <c r="N16" s="48">
        <f>VLOOKUP($D16,HData!$A$2:$AE$219,N$3,FALSE)</f>
        <v>2376</v>
      </c>
      <c r="O16" s="48">
        <f>VLOOKUP($D16,HData!$A$2:$AE$219,O$3,FALSE)</f>
        <v>1797</v>
      </c>
      <c r="P16" s="48">
        <f>VLOOKUP($D16,HData!$A$2:$AE$219,P$3,FALSE)</f>
        <v>1463</v>
      </c>
      <c r="Q16" s="48">
        <f>VLOOKUP($D16,HData!$A$2:$AE$219,Q$3,FALSE)</f>
        <v>1331</v>
      </c>
      <c r="R16" s="48">
        <f>VLOOKUP($D16,HData!$A$2:$AE$219,R$3,FALSE)</f>
        <v>1360</v>
      </c>
      <c r="S16" s="48">
        <f>VLOOKUP($D16,HData!$A$2:$AE$219,S$3,FALSE)</f>
        <v>1336</v>
      </c>
      <c r="T16" s="48">
        <f>VLOOKUP($D16,HData!$A$2:$AE$219,T$3,FALSE)</f>
        <v>1147</v>
      </c>
      <c r="U16" s="48">
        <f>VLOOKUP($D16,HData!$A$2:$AE$219,U$3,FALSE)</f>
        <v>1003</v>
      </c>
      <c r="V16" s="48">
        <f>VLOOKUP($D16,HData!$A$2:$AE$219,V$3,FALSE)</f>
        <v>848.8</v>
      </c>
      <c r="W16" s="31"/>
      <c r="X16" s="58">
        <f t="shared" si="15"/>
        <v>0.35867704332864725</v>
      </c>
      <c r="Y16" s="58">
        <f t="shared" si="16"/>
        <v>0.4886455331412104</v>
      </c>
      <c r="Z16" s="58">
        <f t="shared" si="17"/>
        <v>2.2910295616717633</v>
      </c>
      <c r="AA16" s="58">
        <f t="shared" si="18"/>
        <v>8.7024793388429753</v>
      </c>
      <c r="AB16" s="6"/>
      <c r="AC16" s="24"/>
      <c r="AD16" s="79"/>
      <c r="AE16" s="6"/>
      <c r="AF16" s="6"/>
      <c r="AG16" s="6"/>
      <c r="AH16" s="6"/>
      <c r="AI16" s="6"/>
      <c r="AJ16" s="6"/>
      <c r="AK16" s="6"/>
      <c r="AL16" s="6"/>
      <c r="AM16" s="6"/>
      <c r="AN16" s="6"/>
      <c r="AO16" s="6"/>
      <c r="AP16" s="6"/>
      <c r="AQ16" s="6"/>
      <c r="AR16" s="20"/>
      <c r="AS16" s="24"/>
      <c r="AT16" s="24"/>
      <c r="AU16" s="24"/>
      <c r="AV16" s="24"/>
      <c r="AY16" s="65" t="s">
        <v>215</v>
      </c>
      <c r="BE16">
        <f t="shared" si="0"/>
        <v>0.4886455331412104</v>
      </c>
      <c r="BF16">
        <f t="shared" si="1"/>
        <v>0.18204115002043875</v>
      </c>
      <c r="BG16">
        <f t="shared" si="2"/>
        <v>0.3931283219438117</v>
      </c>
      <c r="BH16">
        <f t="shared" si="3"/>
        <v>0.34250764525993882</v>
      </c>
      <c r="BI16">
        <f t="shared" si="4"/>
        <v>0.38706256627783669</v>
      </c>
      <c r="BJ16">
        <f t="shared" si="5"/>
        <v>0.19065656565656566</v>
      </c>
      <c r="BK16">
        <f t="shared" si="6"/>
        <v>0.32220367278797996</v>
      </c>
      <c r="BL16">
        <f t="shared" si="7"/>
        <v>0.22829801777170197</v>
      </c>
      <c r="BM16">
        <f t="shared" si="8"/>
        <v>9.9173553719008267E-2</v>
      </c>
      <c r="BN16">
        <f t="shared" si="9"/>
        <v>-2.1323529411764706E-2</v>
      </c>
      <c r="BO16">
        <f t="shared" si="10"/>
        <v>1.7964071856287425E-2</v>
      </c>
      <c r="BP16">
        <f t="shared" si="11"/>
        <v>0.16477768090671316</v>
      </c>
      <c r="BQ16">
        <f t="shared" si="12"/>
        <v>0.14356929212362912</v>
      </c>
      <c r="BR16">
        <f t="shared" si="13"/>
        <v>0.18166823751178141</v>
      </c>
      <c r="BS16" t="e">
        <f t="shared" si="14"/>
        <v>#DIV/0!</v>
      </c>
    </row>
    <row r="17" spans="1:71" ht="14" customHeight="1" x14ac:dyDescent="0.2">
      <c r="A17" s="3" t="s">
        <v>50</v>
      </c>
      <c r="B17" s="47">
        <f>Statistics!B31</f>
        <v>45.58</v>
      </c>
      <c r="C17" s="6"/>
      <c r="D17" s="50" t="s">
        <v>4</v>
      </c>
      <c r="E17" s="14"/>
      <c r="F17" s="52"/>
      <c r="G17" s="53"/>
      <c r="H17" s="52"/>
      <c r="I17" s="52"/>
      <c r="J17" s="52"/>
      <c r="K17" s="52"/>
      <c r="L17" s="52"/>
      <c r="M17" s="52"/>
      <c r="N17" s="52"/>
      <c r="O17" s="52"/>
      <c r="P17" s="52"/>
      <c r="Q17" s="52"/>
      <c r="R17" s="52"/>
      <c r="S17" s="52"/>
      <c r="T17" s="52"/>
      <c r="U17" s="52"/>
      <c r="V17" s="52"/>
      <c r="W17" s="31"/>
      <c r="X17" s="63"/>
      <c r="Y17" s="63"/>
      <c r="Z17" s="63"/>
      <c r="AA17" s="63"/>
      <c r="AB17" s="6"/>
      <c r="AC17" s="13" t="s">
        <v>522</v>
      </c>
      <c r="AE17">
        <f t="shared" ref="AE17:AN17" si="28">AE15/POWER(1+$AD$5,AE1)</f>
        <v>121997.86773385989</v>
      </c>
      <c r="AF17">
        <f t="shared" si="28"/>
        <v>64987.998644763269</v>
      </c>
      <c r="AG17">
        <f t="shared" si="28"/>
        <v>76567.982850234781</v>
      </c>
      <c r="AH17">
        <f t="shared" si="28"/>
        <v>90211.363944291268</v>
      </c>
      <c r="AI17">
        <f t="shared" si="28"/>
        <v>106285.81140249305</v>
      </c>
      <c r="AJ17">
        <f t="shared" si="28"/>
        <v>125224.50843845366</v>
      </c>
      <c r="AK17">
        <f t="shared" si="28"/>
        <v>147537.8256677122</v>
      </c>
      <c r="AL17">
        <f t="shared" si="28"/>
        <v>173827.07486094587</v>
      </c>
      <c r="AM17">
        <f t="shared" si="28"/>
        <v>204800.71343036913</v>
      </c>
      <c r="AN17">
        <f t="shared" si="28"/>
        <v>241293.43633689426</v>
      </c>
      <c r="AO17" s="6"/>
      <c r="AP17" s="6"/>
      <c r="AQ17" s="6"/>
      <c r="AR17" s="6"/>
      <c r="AS17" s="21"/>
      <c r="AT17" s="21"/>
      <c r="AU17" s="21"/>
      <c r="AV17" s="21"/>
      <c r="AY17" s="10" t="s">
        <v>4</v>
      </c>
    </row>
    <row r="18" spans="1:71" ht="14" customHeight="1" x14ac:dyDescent="0.2">
      <c r="A18" s="3" t="s">
        <v>51</v>
      </c>
      <c r="B18" s="47">
        <f>Statistics!B32</f>
        <v>46.68</v>
      </c>
      <c r="C18" s="6"/>
      <c r="D18" s="48" t="s">
        <v>11</v>
      </c>
      <c r="E18" s="44"/>
      <c r="F18" s="48">
        <f>VLOOKUP(AY18,'12QData'!$A$5:$W$218,2,FALSE)</f>
        <v>11639</v>
      </c>
      <c r="G18" s="52"/>
      <c r="H18" s="48">
        <f>VLOOKUP($D18,HData!$A$2:$AE$219,G$3,FALSE)</f>
        <v>8589</v>
      </c>
      <c r="I18" s="48">
        <f>VLOOKUP($D18,HData!$A$2:$AE$219,H$3,FALSE)</f>
        <v>7280</v>
      </c>
      <c r="J18" s="48">
        <f>VLOOKUP($D18,HData!$A$2:$AE$219,I$3,FALSE)</f>
        <v>3389</v>
      </c>
      <c r="K18" s="48">
        <f>VLOOKUP($D18,HData!$A$2:$AE$219,J$3,FALSE)</f>
        <v>1990</v>
      </c>
      <c r="L18" s="48">
        <f>VLOOKUP($D18,HData!$A$2:$AE$219,K$3,FALSE)</f>
        <v>847</v>
      </c>
      <c r="M18" s="48">
        <f>VLOOKUP($D18,HData!$A$2:$AE$219,L$3,FALSE)</f>
        <v>10896</v>
      </c>
      <c r="N18" s="48">
        <f>VLOOKUP($D18,HData!$A$2:$AE$219,M$3,FALSE)</f>
        <v>782</v>
      </c>
      <c r="O18" s="48">
        <f>VLOOKUP($D18,HData!$A$2:$AE$219,N$3,FALSE)</f>
        <v>4002</v>
      </c>
      <c r="P18" s="48">
        <f>VLOOKUP($D18,HData!$A$2:$AE$219,O$3,FALSE)</f>
        <v>1766</v>
      </c>
      <c r="Q18" s="48">
        <f>VLOOKUP($D18,HData!$A$2:$AE$219,P$3,FALSE)</f>
        <v>596</v>
      </c>
      <c r="R18" s="48">
        <f>VLOOKUP($D18,HData!$A$2:$AE$219,Q$3,FALSE)</f>
        <v>497</v>
      </c>
      <c r="S18" s="48">
        <f>VLOOKUP($D18,HData!$A$2:$AE$219,R$3,FALSE)</f>
        <v>1152</v>
      </c>
      <c r="T18" s="48">
        <f>VLOOKUP($D18,HData!$A$2:$AE$219,S$3,FALSE)</f>
        <v>732.8</v>
      </c>
      <c r="U18" s="48">
        <f>VLOOKUP($D18,HData!$A$2:$AE$219,T$3,FALSE)</f>
        <v>667.9</v>
      </c>
      <c r="V18" s="48">
        <f>VLOOKUP($D18,HData!$A$2:$AE$219,U$3,FALSE)</f>
        <v>665.4</v>
      </c>
      <c r="W18" s="31"/>
      <c r="X18" s="58">
        <f t="shared" ref="X18:X29" si="29">AVERAGE(BE18:BI18)</f>
        <v>0.49163054406718543</v>
      </c>
      <c r="Y18" s="58">
        <f t="shared" ref="Y18:Y29" si="30">(H18-I18)/I18</f>
        <v>0.17980769230769231</v>
      </c>
      <c r="Z18" s="58">
        <f t="shared" ref="Z18:Z29" si="31">(H18-L18)/L18</f>
        <v>9.1404958677685944</v>
      </c>
      <c r="AA18" s="58">
        <f t="shared" ref="AA18:AA29" si="32">(H18-Q18)/Q18</f>
        <v>13.411073825503356</v>
      </c>
      <c r="AB18" s="6"/>
      <c r="AC18" s="6"/>
      <c r="AD18" s="6"/>
      <c r="AE18" s="6"/>
      <c r="AF18" s="6"/>
      <c r="AG18" s="6"/>
      <c r="AH18" s="6"/>
      <c r="AI18" s="6"/>
      <c r="AJ18" s="6"/>
      <c r="AK18" s="6"/>
      <c r="AL18" s="6"/>
      <c r="AM18" s="6"/>
      <c r="AN18" s="6"/>
      <c r="AO18" s="6"/>
      <c r="AP18" s="6"/>
      <c r="AQ18" s="6"/>
      <c r="AR18" s="23"/>
      <c r="AS18" s="6"/>
      <c r="AT18" s="6"/>
      <c r="AU18" s="6"/>
      <c r="AV18" s="6"/>
      <c r="AY18" s="67" t="s">
        <v>11</v>
      </c>
      <c r="BE18">
        <f t="shared" ref="BE18:BE29" si="33">(H18-I18)/I18</f>
        <v>0.17980769230769231</v>
      </c>
      <c r="BF18">
        <f t="shared" ref="BF18:BF29" si="34">(I18-J18)/J18</f>
        <v>1.1481262909412806</v>
      </c>
      <c r="BG18">
        <f t="shared" ref="BG18:BG29" si="35">(J18-K18)/K18</f>
        <v>0.70301507537688446</v>
      </c>
      <c r="BH18">
        <f t="shared" ref="BH18:BH29" si="36">(K18-L18)/L18</f>
        <v>1.3494687131050767</v>
      </c>
      <c r="BI18">
        <f t="shared" ref="BI18:BI29" si="37">(L18-M18)/M18</f>
        <v>-0.92226505139500736</v>
      </c>
      <c r="BJ18">
        <f t="shared" ref="BJ18:BJ29" si="38">(M18-N18)/N18</f>
        <v>12.933503836317136</v>
      </c>
      <c r="BK18">
        <f t="shared" ref="BK18:BK29" si="39">(N18-O18)/O18</f>
        <v>-0.8045977011494253</v>
      </c>
      <c r="BL18">
        <f t="shared" ref="BL18:BL29" si="40">(O18-P18)/P18</f>
        <v>1.2661381653454133</v>
      </c>
      <c r="BM18">
        <f t="shared" ref="BM18:BM29" si="41">(P18-Q18)/Q18</f>
        <v>1.9630872483221478</v>
      </c>
      <c r="BN18">
        <f t="shared" ref="BN18:BN29" si="42">(Q18-R18)/R18</f>
        <v>0.19919517102615694</v>
      </c>
      <c r="BO18">
        <f t="shared" ref="BO18:BO29" si="43">(R18-S18)/S18</f>
        <v>-0.56857638888888884</v>
      </c>
      <c r="BP18">
        <f t="shared" ref="BP18:BP29" si="44">(S18-T18)/T18</f>
        <v>0.572052401746725</v>
      </c>
      <c r="BQ18">
        <f t="shared" ref="BQ18:BQ29" si="45">(T18-U18)/U18</f>
        <v>9.7170235065129479E-2</v>
      </c>
      <c r="BR18">
        <f t="shared" ref="BR18:BR29" si="46">(U18-V18)/V18</f>
        <v>3.7571385632702136E-3</v>
      </c>
      <c r="BS18" t="e">
        <f t="shared" ref="BS18:BS29" si="47">(V18-W18)/W18</f>
        <v>#DIV/0!</v>
      </c>
    </row>
    <row r="19" spans="1:71" ht="14" customHeight="1" x14ac:dyDescent="0.2">
      <c r="A19" s="3" t="s">
        <v>52</v>
      </c>
      <c r="B19" s="47">
        <f>Statistics!B33</f>
        <v>62.2</v>
      </c>
      <c r="C19" s="6"/>
      <c r="D19" s="48" t="s">
        <v>123</v>
      </c>
      <c r="E19" s="44"/>
      <c r="F19" s="48" t="e">
        <f>VLOOKUP(AY19,'12QData'!$A$5:$W$218,2,FALSE)</f>
        <v>#N/A</v>
      </c>
      <c r="G19" s="52"/>
      <c r="H19" s="48">
        <f>VLOOKUP($D19,HData!$A$2:$AE$219,G$3,FALSE)</f>
        <v>80126</v>
      </c>
      <c r="I19" s="48">
        <f>VLOOKUP($D19,HData!$A$2:$AE$219,H$3,FALSE)</f>
        <v>44345</v>
      </c>
      <c r="J19" s="48">
        <f>VLOOKUP($D19,HData!$A$2:$AE$219,I$3,FALSE)</f>
        <v>23073</v>
      </c>
      <c r="K19" s="48">
        <f>VLOOKUP($D19,HData!$A$2:$AE$219,J$3,FALSE)</f>
        <v>28829</v>
      </c>
      <c r="L19" s="48">
        <f>VLOOKUP($D19,HData!$A$2:$AE$219,K$3,FALSE)</f>
        <v>16055</v>
      </c>
      <c r="M19" s="48">
        <f>VLOOKUP($D19,HData!$A$2:$AE$219,L$3,FALSE)</f>
        <v>13690</v>
      </c>
      <c r="N19" s="48">
        <f>VLOOKUP($D19,HData!$A$2:$AE$219,M$3,FALSE)</f>
        <v>10557</v>
      </c>
      <c r="O19" s="48">
        <f>VLOOKUP($D19,HData!$A$2:$AE$219,N$3,FALSE)</f>
        <v>9255</v>
      </c>
      <c r="P19" s="48">
        <f>VLOOKUP($D19,HData!$A$2:$AE$219,O$3,FALSE)</f>
        <v>8536</v>
      </c>
      <c r="Q19" s="48">
        <f>VLOOKUP($D19,HData!$A$2:$AE$219,P$3,FALSE)</f>
        <v>6053</v>
      </c>
      <c r="R19" s="48">
        <f>VLOOKUP($D19,HData!$A$2:$AE$219,Q$3,FALSE)</f>
        <v>5713</v>
      </c>
      <c r="S19" s="48">
        <f>VLOOKUP($D19,HData!$A$2:$AE$219,R$3,FALSE)</f>
        <v>5625</v>
      </c>
      <c r="T19" s="48">
        <f>VLOOKUP($D19,HData!$A$2:$AE$219,S$3,FALSE)</f>
        <v>4775</v>
      </c>
      <c r="U19" s="48">
        <f>VLOOKUP($D19,HData!$A$2:$AE$219,T$3,FALSE)</f>
        <v>3905</v>
      </c>
      <c r="V19" s="48">
        <f>VLOOKUP($D19,HData!$A$2:$AE$219,U$3,FALSE)</f>
        <v>3227</v>
      </c>
      <c r="W19" s="48">
        <f>VLOOKUP($D19,HData!$A$2:$AE$219,V$3,FALSE)</f>
        <v>2481</v>
      </c>
      <c r="X19" s="58"/>
      <c r="Y19" s="58"/>
      <c r="Z19" s="58"/>
      <c r="AA19" s="58"/>
      <c r="AB19" s="6"/>
      <c r="AC19" s="13" t="s">
        <v>517</v>
      </c>
      <c r="AD19">
        <f>AN15*(1+AD4)/(AD5-AD4)</f>
        <v>9058054.8316459116</v>
      </c>
      <c r="AE19" s="6"/>
      <c r="AF19" s="6"/>
      <c r="AG19" s="6"/>
      <c r="AH19" s="6"/>
      <c r="AI19" s="6"/>
      <c r="AJ19" s="6"/>
      <c r="AK19" s="14"/>
      <c r="AL19" s="6"/>
      <c r="AM19" s="6"/>
      <c r="AN19" s="6"/>
      <c r="AO19" s="6"/>
      <c r="AP19" s="6"/>
      <c r="AQ19" s="6"/>
      <c r="AR19" s="23"/>
      <c r="AS19" s="6"/>
      <c r="AT19" s="6"/>
      <c r="AU19" s="6"/>
      <c r="AV19" s="6"/>
      <c r="AY19" s="67"/>
    </row>
    <row r="20" spans="1:71" ht="14" customHeight="1" x14ac:dyDescent="0.2">
      <c r="A20" s="51" t="s">
        <v>354</v>
      </c>
      <c r="B20" s="47"/>
      <c r="C20" s="6"/>
      <c r="D20" s="48" t="s">
        <v>126</v>
      </c>
      <c r="E20" s="44"/>
      <c r="F20" s="48">
        <f>VLOOKUP(AY20,'12QData'!$A$5:$W$218,2,FALSE)</f>
        <v>140740</v>
      </c>
      <c r="G20" s="52"/>
      <c r="H20" s="48">
        <f>VLOOKUP($D20,HData!$A$2:$AE$219,G$3,FALSE)</f>
        <v>111601</v>
      </c>
      <c r="I20" s="48">
        <f>VLOOKUP($D20,HData!$A$2:$AE$219,H$3,FALSE)</f>
        <v>65728</v>
      </c>
      <c r="J20" s="48">
        <f>VLOOKUP($D20,HData!$A$2:$AE$219,I$3,FALSE)</f>
        <v>41182</v>
      </c>
      <c r="K20" s="48">
        <f>VLOOKUP($D20,HData!$A$2:$AE$219,J$3,FALSE)</f>
        <v>44187</v>
      </c>
      <c r="L20" s="48">
        <f>VLOOKUP($D20,HData!$A$2:$AE$219,K$3,FALSE)</f>
        <v>28791</v>
      </c>
      <c r="M20" s="48">
        <f>VLOOKUP($D20,HData!$A$2:$AE$219,L$3,FALSE)</f>
        <v>17315</v>
      </c>
      <c r="N20" s="48">
        <f>VLOOKUP($D20,HData!$A$2:$AE$219,M$3,FALSE)</f>
        <v>13292</v>
      </c>
      <c r="O20" s="48">
        <f>VLOOKUP($D20,HData!$A$2:$AE$219,N$3,FALSE)</f>
        <v>11241</v>
      </c>
      <c r="P20" s="48">
        <f>VLOOKUP($D20,HData!$A$2:$AE$219,O$3,FALSE)</f>
        <v>9841</v>
      </c>
      <c r="Q20" s="48">
        <f>VLOOKUP($D20,HData!$A$2:$AE$219,P$3,FALSE)</f>
        <v>7370</v>
      </c>
      <c r="R20" s="48">
        <f>VLOOKUP($D20,HData!$A$2:$AE$219,Q$3,FALSE)</f>
        <v>7201</v>
      </c>
      <c r="S20" s="48">
        <f>VLOOKUP($D20,HData!$A$2:$AE$219,R$3,FALSE)</f>
        <v>7251</v>
      </c>
      <c r="T20" s="48">
        <f>VLOOKUP($D20,HData!$A$2:$AE$219,S$3,FALSE)</f>
        <v>6412</v>
      </c>
      <c r="U20" s="48">
        <f>VLOOKUP($D20,HData!$A$2:$AE$219,T$3,FALSE)</f>
        <v>5553</v>
      </c>
      <c r="V20" s="48">
        <f>VLOOKUP($D20,HData!$A$2:$AE$219,U$3,FALSE)</f>
        <v>4495</v>
      </c>
      <c r="W20" s="31"/>
      <c r="X20" s="58">
        <f t="shared" si="29"/>
        <v>0.48469615909637309</v>
      </c>
      <c r="Y20" s="58">
        <f t="shared" si="30"/>
        <v>0.69792173807205449</v>
      </c>
      <c r="Z20" s="58">
        <f t="shared" si="31"/>
        <v>2.8762460491125701</v>
      </c>
      <c r="AA20" s="58">
        <f t="shared" si="32"/>
        <v>14.142605156037991</v>
      </c>
      <c r="AB20" s="6"/>
      <c r="AC20" s="13" t="s">
        <v>526</v>
      </c>
      <c r="AD20">
        <f>(AD19)/(1+AD5)^10</f>
        <v>3386428.0618562684</v>
      </c>
      <c r="AE20" s="6"/>
      <c r="AF20" s="6"/>
      <c r="AG20" s="6"/>
      <c r="AH20" s="6"/>
      <c r="AI20" s="6"/>
      <c r="AJ20" s="6"/>
      <c r="AK20" s="6"/>
      <c r="AL20" s="6"/>
      <c r="AM20" s="6"/>
      <c r="AN20" s="6"/>
      <c r="AO20" s="6"/>
      <c r="AP20" s="6"/>
      <c r="AQ20" s="6"/>
      <c r="AR20" s="20"/>
      <c r="AS20" s="24"/>
      <c r="AT20" s="24"/>
      <c r="AU20" s="24"/>
      <c r="AV20" s="6"/>
      <c r="AY20" s="67" t="s">
        <v>126</v>
      </c>
      <c r="BE20">
        <f t="shared" si="33"/>
        <v>0.69792173807205449</v>
      </c>
      <c r="BF20">
        <f t="shared" si="34"/>
        <v>0.59603710358894668</v>
      </c>
      <c r="BG20">
        <f t="shared" si="35"/>
        <v>-6.8006427229728203E-2</v>
      </c>
      <c r="BH20">
        <f t="shared" si="36"/>
        <v>0.53475044284672291</v>
      </c>
      <c r="BI20">
        <f t="shared" si="37"/>
        <v>0.66277793820386943</v>
      </c>
      <c r="BJ20">
        <f t="shared" si="38"/>
        <v>0.30266325609389105</v>
      </c>
      <c r="BK20">
        <f t="shared" si="39"/>
        <v>0.18245707677252915</v>
      </c>
      <c r="BL20">
        <f t="shared" si="40"/>
        <v>0.1422619652474342</v>
      </c>
      <c r="BM20">
        <f t="shared" si="41"/>
        <v>0.33527815468113975</v>
      </c>
      <c r="BN20">
        <f t="shared" si="42"/>
        <v>2.3468962644077211E-2</v>
      </c>
      <c r="BO20">
        <f t="shared" si="43"/>
        <v>-6.8956006068128534E-3</v>
      </c>
      <c r="BP20">
        <f t="shared" si="44"/>
        <v>0.1308484092326887</v>
      </c>
      <c r="BQ20">
        <f t="shared" si="45"/>
        <v>0.15469115793264901</v>
      </c>
      <c r="BR20">
        <f t="shared" si="46"/>
        <v>0.2353726362625139</v>
      </c>
      <c r="BS20" t="e">
        <f t="shared" si="47"/>
        <v>#DIV/0!</v>
      </c>
    </row>
    <row r="21" spans="1:71" ht="14" customHeight="1" x14ac:dyDescent="0.2">
      <c r="A21" s="3" t="s">
        <v>5</v>
      </c>
      <c r="B21" s="47">
        <f>Statistics!B35</f>
        <v>4.21</v>
      </c>
      <c r="C21" s="6"/>
      <c r="D21" s="48" t="s">
        <v>131</v>
      </c>
      <c r="E21" s="44"/>
      <c r="F21" s="48" t="e">
        <f>VLOOKUP(AY21,'12QData'!$A$5:$W$218,2,FALSE)</f>
        <v>#N/A</v>
      </c>
      <c r="G21" s="52"/>
      <c r="H21" s="48">
        <f>VLOOKUP($D21,HData!$A$2:$AE$219,G$3,FALSE)</f>
        <v>18047</v>
      </c>
      <c r="I21" s="48">
        <f>VLOOKUP($D21,HData!$A$2:$AE$219,H$3,FALSE)</f>
        <v>10631</v>
      </c>
      <c r="J21" s="48">
        <f>VLOOKUP($D21,HData!$A$2:$AE$219,I$3,FALSE)</f>
        <v>6563</v>
      </c>
      <c r="K21" s="48">
        <f>VLOOKUP($D21,HData!$A$2:$AE$219,J$3,FALSE)</f>
        <v>4335</v>
      </c>
      <c r="L21" s="48">
        <f>VLOOKUP($D21,HData!$A$2:$AE$219,K$3,FALSE)</f>
        <v>3925</v>
      </c>
      <c r="M21" s="48">
        <f>VLOOKUP($D21,HData!$A$2:$AE$219,L$3,FALSE)</f>
        <v>1784</v>
      </c>
      <c r="N21" s="48">
        <f>VLOOKUP($D21,HData!$A$2:$AE$219,M$3,FALSE)</f>
        <v>1329</v>
      </c>
      <c r="O21" s="48">
        <f>VLOOKUP($D21,HData!$A$2:$AE$219,N$3,FALSE)</f>
        <v>1153</v>
      </c>
      <c r="P21" s="48">
        <f>VLOOKUP($D21,HData!$A$2:$AE$219,O$3,FALSE)</f>
        <v>1819</v>
      </c>
      <c r="Q21" s="48">
        <f>VLOOKUP($D21,HData!$A$2:$AE$219,P$3,FALSE)</f>
        <v>2438</v>
      </c>
      <c r="R21" s="48">
        <f>VLOOKUP($D21,HData!$A$2:$AE$219,Q$3,FALSE)</f>
        <v>896</v>
      </c>
      <c r="S21" s="48">
        <f>VLOOKUP($D21,HData!$A$2:$AE$219,R$3,FALSE)</f>
        <v>945.5</v>
      </c>
      <c r="T21" s="48">
        <f>VLOOKUP($D21,HData!$A$2:$AE$219,S$3,FALSE)</f>
        <v>976.2</v>
      </c>
      <c r="U21" s="48">
        <f>VLOOKUP($D21,HData!$A$2:$AE$219,T$3,FALSE)</f>
        <v>930</v>
      </c>
      <c r="V21" s="48">
        <f>VLOOKUP($D21,HData!$A$2:$AE$219,U$3,FALSE)</f>
        <v>942.7</v>
      </c>
      <c r="W21" s="31"/>
      <c r="X21" s="58"/>
      <c r="Y21" s="58"/>
      <c r="Z21" s="58"/>
      <c r="AA21" s="58"/>
      <c r="AB21" s="6"/>
      <c r="AC21" s="13" t="s">
        <v>525</v>
      </c>
      <c r="AD21">
        <f>SUM(AE17:AN17)</f>
        <v>1352734.5833100171</v>
      </c>
      <c r="AE21" s="6"/>
      <c r="AF21" s="6"/>
      <c r="AG21" s="6"/>
      <c r="AH21" s="6"/>
      <c r="AI21" s="6"/>
      <c r="AJ21" s="6"/>
      <c r="AK21" s="6"/>
      <c r="AL21" s="6"/>
      <c r="AM21" s="6"/>
      <c r="AN21" s="6"/>
      <c r="AO21" s="6"/>
      <c r="AP21" s="6"/>
      <c r="AQ21" s="6"/>
      <c r="AR21" s="20"/>
      <c r="AS21" s="24"/>
      <c r="AT21" s="24"/>
      <c r="AU21" s="24"/>
      <c r="AV21" s="6"/>
      <c r="AY21" s="67"/>
    </row>
    <row r="22" spans="1:71" ht="14" customHeight="1" x14ac:dyDescent="0.2">
      <c r="A22" s="3" t="s">
        <v>8</v>
      </c>
      <c r="B22" s="47">
        <f>Statistics!B36</f>
        <v>3.49</v>
      </c>
      <c r="C22" s="6"/>
      <c r="D22" s="48" t="s">
        <v>7</v>
      </c>
      <c r="E22" s="44"/>
      <c r="F22" s="48">
        <f>VLOOKUP(AY22,'12QData'!$A$5:$W$218,2,FALSE)</f>
        <v>10598</v>
      </c>
      <c r="G22" s="52"/>
      <c r="H22" s="48">
        <f>VLOOKUP($D22,HData!$A$2:$AE$219,G$3,FALSE)</f>
        <v>10270</v>
      </c>
      <c r="I22" s="48">
        <f>VLOOKUP($D22,HData!$A$2:$AE$219,H$3,FALSE)</f>
        <v>11056</v>
      </c>
      <c r="J22" s="48">
        <f>VLOOKUP($D22,HData!$A$2:$AE$219,I$3,FALSE)</f>
        <v>12031</v>
      </c>
      <c r="K22" s="48">
        <f>VLOOKUP($D22,HData!$A$2:$AE$219,J$3,FALSE)</f>
        <v>11831</v>
      </c>
      <c r="L22" s="48">
        <f>VLOOKUP($D22,HData!$A$2:$AE$219,K$3,FALSE)</f>
        <v>7718</v>
      </c>
      <c r="M22" s="48">
        <f>VLOOKUP($D22,HData!$A$2:$AE$219,L$3,FALSE)</f>
        <v>2643</v>
      </c>
      <c r="N22" s="48">
        <f>VLOOKUP($D22,HData!$A$2:$AE$219,M$3,FALSE)</f>
        <v>1988</v>
      </c>
      <c r="O22" s="48">
        <f>VLOOKUP($D22,HData!$A$2:$AE$219,N$3,FALSE)</f>
        <v>2000</v>
      </c>
      <c r="P22" s="48">
        <f>VLOOKUP($D22,HData!$A$2:$AE$219,O$3,FALSE)</f>
        <v>2816</v>
      </c>
      <c r="Q22" s="48">
        <f>VLOOKUP($D22,HData!$A$2:$AE$219,P$3,FALSE)</f>
        <v>1510</v>
      </c>
      <c r="R22" s="48">
        <f>VLOOKUP($D22,HData!$A$2:$AE$219,Q$3,FALSE)</f>
        <v>1398</v>
      </c>
      <c r="S22" s="48">
        <f>VLOOKUP($D22,HData!$A$2:$AE$219,R$3,FALSE)</f>
        <v>1374</v>
      </c>
      <c r="T22" s="48">
        <f>VLOOKUP($D22,HData!$A$2:$AE$219,S$3,FALSE)</f>
        <v>19</v>
      </c>
      <c r="U22" s="48">
        <f>VLOOKUP($D22,HData!$A$2:$AE$219,T$3,FALSE)</f>
        <v>21.44</v>
      </c>
      <c r="V22" s="48">
        <f>VLOOKUP($D22,HData!$A$2:$AE$219,U$3,FALSE)</f>
        <v>23.39</v>
      </c>
      <c r="W22" s="6"/>
      <c r="X22" s="58">
        <f t="shared" si="29"/>
        <v>0.46356960704137284</v>
      </c>
      <c r="Y22" s="58">
        <f t="shared" si="30"/>
        <v>-7.1092619392185238E-2</v>
      </c>
      <c r="Z22" s="58">
        <f t="shared" si="31"/>
        <v>0.33065561026172585</v>
      </c>
      <c r="AA22" s="58">
        <f t="shared" si="32"/>
        <v>5.8013245033112586</v>
      </c>
      <c r="AB22" s="6"/>
      <c r="AC22" s="13" t="s">
        <v>40</v>
      </c>
      <c r="AD22">
        <f>SUM(AD20,AD21)</f>
        <v>4739162.6451662853</v>
      </c>
      <c r="AE22" s="6"/>
      <c r="AF22" s="6"/>
      <c r="AG22" s="6"/>
      <c r="AH22" s="6"/>
      <c r="AI22" s="6"/>
      <c r="AJ22" s="6"/>
      <c r="AK22" s="6"/>
      <c r="AL22" s="6"/>
      <c r="AM22" s="6"/>
      <c r="AN22" s="6"/>
      <c r="AO22" s="6"/>
      <c r="AP22" s="6"/>
      <c r="AQ22" s="6"/>
      <c r="AR22" s="20"/>
      <c r="AS22" s="24"/>
      <c r="AT22" s="24"/>
      <c r="AU22" s="24"/>
      <c r="AV22" s="6"/>
      <c r="AY22" s="67" t="s">
        <v>7</v>
      </c>
      <c r="BE22">
        <f t="shared" si="33"/>
        <v>-7.1092619392185238E-2</v>
      </c>
      <c r="BF22">
        <f t="shared" si="34"/>
        <v>-8.1040645000415593E-2</v>
      </c>
      <c r="BG22">
        <f t="shared" si="35"/>
        <v>1.6904741780069309E-2</v>
      </c>
      <c r="BH22">
        <f t="shared" si="36"/>
        <v>0.53291008033169218</v>
      </c>
      <c r="BI22">
        <f t="shared" si="37"/>
        <v>1.9201664774877034</v>
      </c>
      <c r="BJ22">
        <f t="shared" si="38"/>
        <v>0.32947686116700203</v>
      </c>
      <c r="BK22">
        <f t="shared" si="39"/>
        <v>-6.0000000000000001E-3</v>
      </c>
      <c r="BL22">
        <f t="shared" si="40"/>
        <v>-0.28977272727272729</v>
      </c>
      <c r="BM22">
        <f t="shared" si="41"/>
        <v>0.86490066225165563</v>
      </c>
      <c r="BN22">
        <f t="shared" si="42"/>
        <v>8.0114449213161659E-2</v>
      </c>
      <c r="BO22">
        <f t="shared" si="43"/>
        <v>1.7467248908296942E-2</v>
      </c>
      <c r="BP22">
        <f t="shared" si="44"/>
        <v>71.315789473684205</v>
      </c>
      <c r="BQ22">
        <f t="shared" si="45"/>
        <v>-0.11380597014925378</v>
      </c>
      <c r="BR22">
        <f t="shared" si="46"/>
        <v>-8.3368961094484786E-2</v>
      </c>
      <c r="BS22" t="e">
        <f t="shared" si="47"/>
        <v>#DIV/0!</v>
      </c>
    </row>
    <row r="23" spans="1:71" ht="14" customHeight="1" x14ac:dyDescent="0.2">
      <c r="A23" s="3" t="s">
        <v>53</v>
      </c>
      <c r="B23" s="47">
        <f>Statistics!B37</f>
        <v>0.11</v>
      </c>
      <c r="C23" s="6"/>
      <c r="D23" s="48" t="s">
        <v>176</v>
      </c>
      <c r="E23" s="6"/>
      <c r="F23" s="47">
        <f>F22-F18</f>
        <v>-1041</v>
      </c>
      <c r="G23" s="6"/>
      <c r="H23" s="48">
        <f>VLOOKUP($D23,HData!$A$2:$AE$219,G$3,FALSE)</f>
        <v>1681</v>
      </c>
      <c r="I23" s="48">
        <f>VLOOKUP($D23,HData!$A$2:$AE$219,H$3,FALSE)</f>
        <v>3776</v>
      </c>
      <c r="J23" s="48">
        <f>VLOOKUP($D23,HData!$A$2:$AE$219,I$3,FALSE)</f>
        <v>8642</v>
      </c>
      <c r="K23" s="48">
        <f>VLOOKUP($D23,HData!$A$2:$AE$219,J$3,FALSE)</f>
        <v>9841</v>
      </c>
      <c r="L23" s="48">
        <f>VLOOKUP($D23,HData!$A$2:$AE$219,K$3,FALSE)</f>
        <v>6871</v>
      </c>
      <c r="M23" s="48">
        <f>VLOOKUP($D23,HData!$A$2:$AE$219,L$3,FALSE)</f>
        <v>-8253</v>
      </c>
      <c r="N23" s="48">
        <f>VLOOKUP($D23,HData!$A$2:$AE$219,M$3,FALSE)</f>
        <v>1206</v>
      </c>
      <c r="O23" s="48">
        <f>VLOOKUP($D23,HData!$A$2:$AE$219,N$3,FALSE)</f>
        <v>-2002</v>
      </c>
      <c r="P23" s="48">
        <f>VLOOKUP($D23,HData!$A$2:$AE$219,O$3,FALSE)</f>
        <v>1050</v>
      </c>
      <c r="Q23" s="48">
        <f>VLOOKUP($D23,HData!$A$2:$AE$219,P$3,FALSE)</f>
        <v>914</v>
      </c>
      <c r="R23" s="48">
        <f>VLOOKUP($D23,HData!$A$2:$AE$219,Q$3,FALSE)</f>
        <v>901</v>
      </c>
      <c r="S23" s="48">
        <f>VLOOKUP($D23,HData!$A$2:$AE$219,R$3,FALSE)</f>
        <v>222.3</v>
      </c>
      <c r="T23" s="48">
        <f>VLOOKUP($D23,HData!$A$2:$AE$219,S$3,FALSE)</f>
        <v>-713.8</v>
      </c>
      <c r="U23" s="48">
        <f>VLOOKUP($D23,HData!$A$2:$AE$219,T$3,FALSE)</f>
        <v>-646.4</v>
      </c>
      <c r="V23" s="48">
        <f>VLOOKUP($D23,HData!$A$2:$AE$219,U$3,FALSE)</f>
        <v>-642</v>
      </c>
      <c r="W23" s="30"/>
      <c r="X23" s="58">
        <f t="shared" si="29"/>
        <v>-0.52800309632329978</v>
      </c>
      <c r="Y23" s="58">
        <f t="shared" si="30"/>
        <v>-0.55481991525423724</v>
      </c>
      <c r="Z23" s="58">
        <f t="shared" si="31"/>
        <v>-0.75534856643865522</v>
      </c>
      <c r="AA23" s="58">
        <f t="shared" si="32"/>
        <v>0.83916849015317285</v>
      </c>
      <c r="AB23" s="6"/>
      <c r="AC23" s="13" t="s">
        <v>527</v>
      </c>
      <c r="AD23">
        <f>AD22-H23</f>
        <v>4737481.6451662853</v>
      </c>
      <c r="AE23" s="6"/>
      <c r="AF23" s="6"/>
      <c r="AG23" s="6"/>
      <c r="AH23" s="6"/>
      <c r="AI23" s="6"/>
      <c r="AJ23" s="6"/>
      <c r="AK23" s="6"/>
      <c r="AL23" s="6"/>
      <c r="AM23" s="6"/>
      <c r="AN23" s="6"/>
      <c r="AO23" s="6"/>
      <c r="AP23" s="6"/>
      <c r="AQ23" s="6"/>
      <c r="AR23" s="20"/>
      <c r="AS23" s="24"/>
      <c r="AT23" s="24"/>
      <c r="AU23" s="24"/>
      <c r="AV23" s="6"/>
      <c r="AY23" s="67" t="s">
        <v>176</v>
      </c>
      <c r="BE23">
        <f t="shared" si="33"/>
        <v>-0.55481991525423724</v>
      </c>
      <c r="BF23">
        <f t="shared" si="34"/>
        <v>-0.56306410553112707</v>
      </c>
      <c r="BG23">
        <f t="shared" si="35"/>
        <v>-0.12183721166548116</v>
      </c>
      <c r="BH23">
        <f t="shared" si="36"/>
        <v>0.43225149177703392</v>
      </c>
      <c r="BI23">
        <f t="shared" si="37"/>
        <v>-1.8325457409426875</v>
      </c>
      <c r="BJ23">
        <f t="shared" si="38"/>
        <v>-7.8432835820895521</v>
      </c>
      <c r="BK23">
        <f t="shared" si="39"/>
        <v>-1.6023976023976023</v>
      </c>
      <c r="BL23">
        <f t="shared" si="40"/>
        <v>-2.9066666666666667</v>
      </c>
      <c r="BM23">
        <f t="shared" si="41"/>
        <v>0.1487964989059081</v>
      </c>
      <c r="BN23">
        <f t="shared" si="42"/>
        <v>1.4428412874583796E-2</v>
      </c>
      <c r="BO23">
        <f t="shared" si="43"/>
        <v>3.053081421502474</v>
      </c>
      <c r="BP23">
        <f t="shared" si="44"/>
        <v>-1.3114317736060521</v>
      </c>
      <c r="BQ23">
        <f t="shared" si="45"/>
        <v>0.10426980198019799</v>
      </c>
      <c r="BR23">
        <f t="shared" si="46"/>
        <v>6.8535825545170985E-3</v>
      </c>
      <c r="BS23" t="e">
        <f t="shared" si="47"/>
        <v>#DIV/0!</v>
      </c>
    </row>
    <row r="24" spans="1:71" ht="15" customHeight="1" x14ac:dyDescent="0.2">
      <c r="A24" s="3" t="s">
        <v>54</v>
      </c>
      <c r="B24" s="47">
        <f>Statistics!B38</f>
        <v>0.11</v>
      </c>
      <c r="C24" s="6"/>
      <c r="D24" s="48" t="s">
        <v>13</v>
      </c>
      <c r="E24" s="44"/>
      <c r="F24" s="48">
        <f>VLOOKUP(AY24,'12QData'!$A$5:$W$218,2,FALSE)</f>
        <v>88737</v>
      </c>
      <c r="G24" s="52"/>
      <c r="H24" s="48">
        <f>VLOOKUP($D24,HData!$A$2:$AE$219,G$3,FALSE)</f>
        <v>68038</v>
      </c>
      <c r="I24" s="48">
        <f>VLOOKUP($D24,HData!$A$2:$AE$219,H$3,FALSE)</f>
        <v>29817</v>
      </c>
      <c r="J24" s="48">
        <f>VLOOKUP($D24,HData!$A$2:$AE$219,I$3,FALSE)</f>
        <v>10171</v>
      </c>
      <c r="K24" s="48">
        <f>VLOOKUP($D24,HData!$A$2:$AE$219,J$3,FALSE)</f>
        <v>16235</v>
      </c>
      <c r="L24" s="48">
        <f>VLOOKUP($D24,HData!$A$2:$AE$219,K$3,FALSE)</f>
        <v>18908</v>
      </c>
      <c r="M24" s="48">
        <f>VLOOKUP($D24,HData!$A$2:$AE$219,L$3,FALSE)</f>
        <v>14971</v>
      </c>
      <c r="N24" s="48">
        <f>VLOOKUP($D24,HData!$A$2:$AE$219,M$3,FALSE)</f>
        <v>12565</v>
      </c>
      <c r="O24" s="48">
        <f>VLOOKUP($D24,HData!$A$2:$AE$219,N$3,FALSE)</f>
        <v>8787</v>
      </c>
      <c r="P24" s="48">
        <f>VLOOKUP($D24,HData!$A$2:$AE$219,O$3,FALSE)</f>
        <v>6108</v>
      </c>
      <c r="Q24" s="48">
        <f>VLOOKUP($D24,HData!$A$2:$AE$219,P$3,FALSE)</f>
        <v>4350</v>
      </c>
      <c r="R24" s="48">
        <f>VLOOKUP($D24,HData!$A$2:$AE$219,Q$3,FALSE)</f>
        <v>3949</v>
      </c>
      <c r="S24" s="48">
        <f>VLOOKUP($D24,HData!$A$2:$AE$219,R$3,FALSE)</f>
        <v>3505</v>
      </c>
      <c r="T24" s="48">
        <f>VLOOKUP($D24,HData!$A$2:$AE$219,S$3,FALSE)</f>
        <v>3246</v>
      </c>
      <c r="U24" s="48">
        <f>VLOOKUP($D24,HData!$A$2:$AE$219,T$3,FALSE)</f>
        <v>2730</v>
      </c>
      <c r="V24" s="48">
        <f>VLOOKUP($D24,HData!$A$2:$AE$219,U$3,FALSE)</f>
        <v>2149</v>
      </c>
      <c r="W24" s="32"/>
      <c r="X24" s="58">
        <f t="shared" si="29"/>
        <v>0.59230302484980113</v>
      </c>
      <c r="Y24" s="58">
        <f t="shared" si="30"/>
        <v>1.2818526344031929</v>
      </c>
      <c r="Z24" s="58">
        <f t="shared" si="31"/>
        <v>2.5983710598688385</v>
      </c>
      <c r="AA24" s="58">
        <f t="shared" si="32"/>
        <v>14.640919540229884</v>
      </c>
      <c r="AB24" s="6"/>
      <c r="AC24" s="81" t="s">
        <v>518</v>
      </c>
      <c r="AD24" s="10">
        <f>AD23/H57</f>
        <v>192.93348178237773</v>
      </c>
      <c r="AE24" s="6"/>
      <c r="AF24" s="6"/>
      <c r="AG24" s="6"/>
      <c r="AH24" s="6"/>
      <c r="AI24" s="6"/>
      <c r="AJ24" s="6"/>
      <c r="AK24" s="6"/>
      <c r="AL24" s="6"/>
      <c r="AM24" s="6"/>
      <c r="AN24" s="6"/>
      <c r="AO24" s="6"/>
      <c r="AP24" s="6"/>
      <c r="AQ24" s="6"/>
      <c r="AR24" s="6"/>
      <c r="AS24" s="6"/>
      <c r="AT24" s="6"/>
      <c r="AU24" s="6"/>
      <c r="AV24" s="6"/>
      <c r="AY24" s="67" t="s">
        <v>13</v>
      </c>
      <c r="BE24">
        <f t="shared" si="33"/>
        <v>1.2818526344031929</v>
      </c>
      <c r="BF24">
        <f t="shared" si="34"/>
        <v>1.9315701504276865</v>
      </c>
      <c r="BG24">
        <f t="shared" si="35"/>
        <v>-0.37351401293501696</v>
      </c>
      <c r="BH24">
        <f t="shared" si="36"/>
        <v>-0.14136873281150836</v>
      </c>
      <c r="BI24">
        <f t="shared" si="37"/>
        <v>0.26297508516465168</v>
      </c>
      <c r="BJ24">
        <f t="shared" si="38"/>
        <v>0.19148428173497811</v>
      </c>
      <c r="BK24">
        <f t="shared" si="39"/>
        <v>0.42995334016160236</v>
      </c>
      <c r="BL24">
        <f t="shared" si="40"/>
        <v>0.4386051080550098</v>
      </c>
      <c r="BM24">
        <f t="shared" si="41"/>
        <v>0.40413793103448276</v>
      </c>
      <c r="BN24">
        <f t="shared" si="42"/>
        <v>0.10154469485945809</v>
      </c>
      <c r="BO24">
        <f t="shared" si="43"/>
        <v>0.12667617689015692</v>
      </c>
      <c r="BP24">
        <f t="shared" si="44"/>
        <v>7.9790511398644487E-2</v>
      </c>
      <c r="BQ24">
        <f t="shared" si="45"/>
        <v>0.18901098901098901</v>
      </c>
      <c r="BR24">
        <f t="shared" si="46"/>
        <v>0.27035830618892509</v>
      </c>
      <c r="BS24" t="e">
        <f t="shared" si="47"/>
        <v>#DIV/0!</v>
      </c>
    </row>
    <row r="25" spans="1:71" ht="14" customHeight="1" x14ac:dyDescent="0.2">
      <c r="A25" s="3" t="s">
        <v>55</v>
      </c>
      <c r="B25" s="47">
        <f>Statistics!B39</f>
        <v>0.15</v>
      </c>
      <c r="C25" s="6"/>
      <c r="D25" s="49" t="s">
        <v>240</v>
      </c>
      <c r="E25" s="45"/>
      <c r="F25" s="48">
        <f>VLOOKUP(AY25,'12QData'!$A$5:$W$218,2,FALSE)</f>
        <v>11225</v>
      </c>
      <c r="G25" s="54"/>
      <c r="H25" s="48">
        <f>VLOOKUP($D25,HData!$A$2:$AE$219,G$3,FALSE)</f>
        <v>8076</v>
      </c>
      <c r="I25" s="48">
        <f>VLOOKUP($D25,HData!$A$2:$AE$219,H$3,FALSE)</f>
        <v>5260</v>
      </c>
      <c r="J25" s="48">
        <f>VLOOKUP($D25,HData!$A$2:$AE$219,I$3,FALSE)</f>
        <v>4845</v>
      </c>
      <c r="K25" s="48">
        <f>VLOOKUP($D25,HData!$A$2:$AE$219,J$3,FALSE)</f>
        <v>3607</v>
      </c>
      <c r="L25" s="48">
        <f>VLOOKUP($D25,HData!$A$2:$AE$219,K$3,FALSE)</f>
        <v>2856</v>
      </c>
      <c r="M25" s="48">
        <f>VLOOKUP($D25,HData!$A$2:$AE$219,L$3,FALSE)</f>
        <v>2292</v>
      </c>
      <c r="N25" s="48">
        <f>VLOOKUP($D25,HData!$A$2:$AE$219,M$3,FALSE)</f>
        <v>1404</v>
      </c>
      <c r="O25" s="48">
        <f>VLOOKUP($D25,HData!$A$2:$AE$219,N$3,FALSE)</f>
        <v>997</v>
      </c>
      <c r="P25" s="48">
        <f>VLOOKUP($D25,HData!$A$2:$AE$219,O$3,FALSE)</f>
        <v>521</v>
      </c>
      <c r="Q25" s="48">
        <f>VLOOKUP($D25,HData!$A$2:$AE$219,P$3,FALSE)</f>
        <v>466</v>
      </c>
      <c r="R25" s="48">
        <f>VLOOKUP($D25,HData!$A$2:$AE$219,Q$3,FALSE)</f>
        <v>557</v>
      </c>
      <c r="S25" s="48">
        <f>VLOOKUP($D25,HData!$A$2:$AE$219,R$3,FALSE)</f>
        <v>582.70000000000005</v>
      </c>
      <c r="T25" s="48">
        <f>VLOOKUP($D25,HData!$A$2:$AE$219,S$3,FALSE)</f>
        <v>576.1</v>
      </c>
      <c r="U25" s="48">
        <f>VLOOKUP($D25,HData!$A$2:$AE$219,T$3,FALSE)</f>
        <v>560.1</v>
      </c>
      <c r="V25" s="48">
        <f>VLOOKUP($D25,HData!$A$2:$AE$219,U$3,FALSE)</f>
        <v>568.9</v>
      </c>
      <c r="W25" s="6"/>
      <c r="X25" s="58">
        <f t="shared" si="29"/>
        <v>0.29465330514259686</v>
      </c>
      <c r="Y25" s="58">
        <f t="shared" si="30"/>
        <v>0.535361216730038</v>
      </c>
      <c r="Z25" s="58">
        <f t="shared" si="31"/>
        <v>1.8277310924369747</v>
      </c>
      <c r="AA25" s="58">
        <f t="shared" si="32"/>
        <v>16.330472103004293</v>
      </c>
      <c r="AB25" s="6"/>
      <c r="AC25" s="82"/>
      <c r="AD25" s="6"/>
      <c r="AE25" s="6"/>
      <c r="AF25" s="6"/>
      <c r="AG25" s="6"/>
      <c r="AH25" s="6"/>
      <c r="AI25" s="6"/>
      <c r="AJ25" s="6"/>
      <c r="AK25" s="6"/>
      <c r="AL25" s="6"/>
      <c r="AM25" s="6"/>
      <c r="AN25" s="6"/>
      <c r="AO25" s="6"/>
      <c r="AP25" s="6"/>
      <c r="AQ25" s="6"/>
      <c r="AR25" s="6"/>
      <c r="AS25" s="6"/>
      <c r="AT25" s="6"/>
      <c r="AU25" s="6"/>
      <c r="AV25" s="6"/>
      <c r="AY25" s="67" t="s">
        <v>124</v>
      </c>
      <c r="BE25">
        <f t="shared" si="33"/>
        <v>0.535361216730038</v>
      </c>
      <c r="BF25">
        <f t="shared" si="34"/>
        <v>8.5655314757481935E-2</v>
      </c>
      <c r="BG25">
        <f t="shared" si="35"/>
        <v>0.34322151372331577</v>
      </c>
      <c r="BH25">
        <f t="shared" si="36"/>
        <v>0.26295518207282914</v>
      </c>
      <c r="BI25">
        <f t="shared" si="37"/>
        <v>0.24607329842931938</v>
      </c>
      <c r="BJ25">
        <f t="shared" si="38"/>
        <v>0.63247863247863245</v>
      </c>
      <c r="BK25">
        <f t="shared" si="39"/>
        <v>0.40822467402206619</v>
      </c>
      <c r="BL25">
        <f t="shared" si="40"/>
        <v>0.91362763915547029</v>
      </c>
      <c r="BM25">
        <f t="shared" si="41"/>
        <v>0.11802575107296137</v>
      </c>
      <c r="BN25">
        <f t="shared" si="42"/>
        <v>-0.16337522441651706</v>
      </c>
      <c r="BO25">
        <f t="shared" si="43"/>
        <v>-4.4105028316457941E-2</v>
      </c>
      <c r="BP25">
        <f t="shared" si="44"/>
        <v>1.1456344384655481E-2</v>
      </c>
      <c r="BQ25">
        <f t="shared" si="45"/>
        <v>2.8566327441528299E-2</v>
      </c>
      <c r="BR25">
        <f t="shared" si="46"/>
        <v>-1.5468447881877227E-2</v>
      </c>
      <c r="BS25" t="e">
        <f t="shared" si="47"/>
        <v>#DIV/0!</v>
      </c>
    </row>
    <row r="26" spans="1:71" ht="14" customHeight="1" x14ac:dyDescent="0.2">
      <c r="A26" s="3" t="s">
        <v>56</v>
      </c>
      <c r="B26" s="47">
        <f>Statistics!B40</f>
        <v>390.16</v>
      </c>
      <c r="C26" s="6"/>
      <c r="D26" s="48" t="s">
        <v>121</v>
      </c>
      <c r="E26" s="6"/>
      <c r="F26" s="48">
        <f>VLOOKUP(AY26,'12QData'!$A$5:$W$218,2,FALSE)</f>
        <v>14962</v>
      </c>
      <c r="G26" s="52"/>
      <c r="H26" s="48">
        <f>VLOOKUP($D26,HData!$A$2:$AE$219,G$3,FALSE)</f>
        <v>10080</v>
      </c>
      <c r="I26" s="48">
        <f>VLOOKUP($D26,HData!$A$2:$AE$219,H$3,FALSE)</f>
        <v>5282</v>
      </c>
      <c r="J26" s="48">
        <f>VLOOKUP($D26,HData!$A$2:$AE$219,I$3,FALSE)</f>
        <v>5159</v>
      </c>
      <c r="K26" s="48">
        <f>VLOOKUP($D26,HData!$A$2:$AE$219,J$3,FALSE)</f>
        <v>2605</v>
      </c>
      <c r="L26" s="48">
        <f>VLOOKUP($D26,HData!$A$2:$AE$219,K$3,FALSE)</f>
        <v>1826</v>
      </c>
      <c r="M26" s="48">
        <f>VLOOKUP($D26,HData!$A$2:$AE$219,L$3,FALSE)</f>
        <v>979</v>
      </c>
      <c r="N26" s="48">
        <f>VLOOKUP($D26,HData!$A$2:$AE$219,M$3,FALSE)</f>
        <v>1575</v>
      </c>
      <c r="O26" s="48">
        <f>VLOOKUP($D26,HData!$A$2:$AE$219,N$3,FALSE)</f>
        <v>796</v>
      </c>
      <c r="P26" s="48">
        <f>VLOOKUP($D26,HData!$A$2:$AE$219,O$3,FALSE)</f>
        <v>794</v>
      </c>
      <c r="Q26" s="48">
        <f>VLOOKUP($D26,HData!$A$2:$AE$219,P$3,FALSE)</f>
        <v>418</v>
      </c>
      <c r="R26" s="48">
        <f>VLOOKUP($D26,HData!$A$2:$AE$219,Q$3,FALSE)</f>
        <v>483</v>
      </c>
      <c r="S26" s="48">
        <f>VLOOKUP($D26,HData!$A$2:$AE$219,R$3,FALSE)</f>
        <v>387.8</v>
      </c>
      <c r="T26" s="48">
        <f>VLOOKUP($D26,HData!$A$2:$AE$219,S$3,FALSE)</f>
        <v>412.5</v>
      </c>
      <c r="U26" s="48">
        <f>VLOOKUP($D26,HData!$A$2:$AE$219,T$3,FALSE)</f>
        <v>340.3</v>
      </c>
      <c r="V26" s="48">
        <f>VLOOKUP($D26,HData!$A$2:$AE$219,U$3,FALSE)</f>
        <v>345.5</v>
      </c>
      <c r="W26" s="30"/>
      <c r="X26" s="58">
        <f t="shared" si="29"/>
        <v>0.6408832459085636</v>
      </c>
      <c r="Y26" s="58">
        <f t="shared" si="30"/>
        <v>0.9083680424081787</v>
      </c>
      <c r="Z26" s="58">
        <f t="shared" si="31"/>
        <v>4.5202628696604599</v>
      </c>
      <c r="AA26" s="58">
        <f t="shared" si="32"/>
        <v>23.114832535885167</v>
      </c>
      <c r="AB26" s="6"/>
      <c r="AC26" t="s">
        <v>617</v>
      </c>
      <c r="AF26" s="6"/>
      <c r="AG26" s="6"/>
      <c r="AH26" s="6"/>
      <c r="AI26" s="6"/>
      <c r="AJ26" s="6"/>
      <c r="AK26" s="6"/>
      <c r="AL26" s="6"/>
      <c r="AM26" s="6"/>
      <c r="AN26" s="6"/>
      <c r="AO26" s="6"/>
      <c r="AP26" s="6"/>
      <c r="AQ26" s="6"/>
      <c r="AR26" s="23"/>
      <c r="AS26" s="6"/>
      <c r="AT26" s="6"/>
      <c r="AU26" s="24"/>
      <c r="AV26" s="6"/>
      <c r="AY26" s="67" t="s">
        <v>121</v>
      </c>
      <c r="BE26">
        <f t="shared" si="33"/>
        <v>0.9083680424081787</v>
      </c>
      <c r="BF26">
        <f t="shared" si="34"/>
        <v>2.3841829811979066E-2</v>
      </c>
      <c r="BG26">
        <f t="shared" si="35"/>
        <v>0.98042226487523987</v>
      </c>
      <c r="BH26">
        <f t="shared" si="36"/>
        <v>0.42661555312157723</v>
      </c>
      <c r="BI26">
        <f t="shared" si="37"/>
        <v>0.8651685393258427</v>
      </c>
      <c r="BJ26">
        <f t="shared" si="38"/>
        <v>-0.37841269841269842</v>
      </c>
      <c r="BK26">
        <f t="shared" si="39"/>
        <v>0.97864321608040206</v>
      </c>
      <c r="BL26">
        <f t="shared" si="40"/>
        <v>2.5188916876574307E-3</v>
      </c>
      <c r="BM26">
        <f t="shared" si="41"/>
        <v>0.8995215311004785</v>
      </c>
      <c r="BN26">
        <f t="shared" si="42"/>
        <v>-0.13457556935817805</v>
      </c>
      <c r="BO26">
        <f t="shared" si="43"/>
        <v>0.24548736462093859</v>
      </c>
      <c r="BP26">
        <f t="shared" si="44"/>
        <v>-5.9878787878787851E-2</v>
      </c>
      <c r="BQ26">
        <f t="shared" si="45"/>
        <v>0.21216573611519243</v>
      </c>
      <c r="BR26">
        <f t="shared" si="46"/>
        <v>-1.505065123010127E-2</v>
      </c>
      <c r="BS26" t="e">
        <f t="shared" si="47"/>
        <v>#DIV/0!</v>
      </c>
    </row>
    <row r="27" spans="1:71" ht="15" customHeight="1" x14ac:dyDescent="0.2">
      <c r="A27" s="3" t="s">
        <v>68</v>
      </c>
      <c r="B27" s="47">
        <f>Statistics!B119</f>
        <v>0</v>
      </c>
      <c r="C27" s="6"/>
      <c r="D27" s="48" t="s">
        <v>192</v>
      </c>
      <c r="E27" s="6"/>
      <c r="F27" s="48">
        <f>VLOOKUP(D27,'12QData'!$A$5:$W$218,2,FALSE)</f>
        <v>5755</v>
      </c>
      <c r="G27" s="52"/>
      <c r="H27" s="48">
        <f>VLOOKUP($D27,HData!$A$2:$AE$219,G$3,FALSE)</f>
        <v>5188</v>
      </c>
      <c r="I27" s="48">
        <f>VLOOKUP($D27,HData!$A$2:$AE$219,H$3,FALSE)</f>
        <v>4430</v>
      </c>
      <c r="J27" s="48">
        <f>VLOOKUP($D27,HData!$A$2:$AE$219,I$3,FALSE)</f>
        <v>4372</v>
      </c>
      <c r="K27" s="48">
        <f>VLOOKUP($D27,HData!$A$2:$AE$219,J$3,FALSE)</f>
        <v>4349</v>
      </c>
      <c r="L27" s="48">
        <f>VLOOKUP($D27,HData!$A$2:$AE$219,K$3,FALSE)</f>
        <v>4193</v>
      </c>
      <c r="M27" s="48">
        <f>VLOOKUP($D27,HData!$A$2:$AE$219,L$3,FALSE)</f>
        <v>618</v>
      </c>
      <c r="N27" s="48">
        <f>VLOOKUP($D27,HData!$A$2:$AE$219,M$3,FALSE)</f>
        <v>618</v>
      </c>
      <c r="O27" s="48">
        <f>VLOOKUP($D27,HData!$A$2:$AE$219,N$3,FALSE)</f>
        <v>618</v>
      </c>
      <c r="P27" s="48">
        <f>VLOOKUP($D27,HData!$A$2:$AE$219,O$3,FALSE)</f>
        <v>618</v>
      </c>
      <c r="Q27" s="48">
        <f>VLOOKUP($D27,HData!$A$2:$AE$219,P$3,FALSE)</f>
        <v>618</v>
      </c>
      <c r="R27" s="48">
        <f>VLOOKUP($D27,HData!$A$2:$AE$219,Q$3,FALSE)</f>
        <v>618</v>
      </c>
      <c r="S27" s="48">
        <f>VLOOKUP($D27,HData!$A$2:$AE$219,R$3,FALSE)</f>
        <v>643.20000000000005</v>
      </c>
      <c r="T27" s="48">
        <f>VLOOKUP($D27,HData!$A$2:$AE$219,S$3,FALSE)</f>
        <v>641</v>
      </c>
      <c r="U27" s="48">
        <f>VLOOKUP($D27,HData!$A$2:$AE$219,T$3,FALSE)</f>
        <v>641</v>
      </c>
      <c r="V27" s="48">
        <f>VLOOKUP($D27,HData!$A$2:$AE$219,U$3,FALSE)</f>
        <v>369.8</v>
      </c>
      <c r="W27" s="30"/>
      <c r="X27" s="58">
        <f t="shared" si="29"/>
        <v>1.2023310831730893</v>
      </c>
      <c r="Y27" s="58">
        <f t="shared" si="30"/>
        <v>0.17110609480812641</v>
      </c>
      <c r="Z27" s="58">
        <f t="shared" si="31"/>
        <v>0.23730026234199858</v>
      </c>
      <c r="AA27" s="58">
        <f t="shared" si="32"/>
        <v>7.3948220064724923</v>
      </c>
      <c r="AB27" s="6"/>
      <c r="AC27" s="10" t="s">
        <v>621</v>
      </c>
      <c r="AD27" s="9" cm="1">
        <f t="array" ref="AD27:AR27">H4:V4</f>
        <v>2025</v>
      </c>
      <c r="AE27" s="9">
        <v>2024</v>
      </c>
      <c r="AF27" s="9">
        <v>2023</v>
      </c>
      <c r="AG27" s="9">
        <v>2022</v>
      </c>
      <c r="AH27" s="9">
        <v>2021</v>
      </c>
      <c r="AI27" s="9">
        <v>2020</v>
      </c>
      <c r="AJ27" s="9">
        <v>2019</v>
      </c>
      <c r="AK27" s="9">
        <v>2018</v>
      </c>
      <c r="AL27" s="9">
        <v>2017</v>
      </c>
      <c r="AM27" s="9">
        <v>2016</v>
      </c>
      <c r="AN27" s="9">
        <v>2015</v>
      </c>
      <c r="AO27" s="9">
        <v>2014</v>
      </c>
      <c r="AP27" s="9">
        <v>2013</v>
      </c>
      <c r="AQ27" s="9">
        <v>2012</v>
      </c>
      <c r="AR27" s="83">
        <v>2011</v>
      </c>
      <c r="AS27" s="13" t="s">
        <v>75</v>
      </c>
      <c r="AT27" s="24"/>
      <c r="AU27" s="24"/>
      <c r="AV27" s="6"/>
      <c r="AY27" s="67" t="s">
        <v>192</v>
      </c>
      <c r="BE27">
        <f t="shared" si="33"/>
        <v>0.17110609480812641</v>
      </c>
      <c r="BF27">
        <f t="shared" si="34"/>
        <v>1.3266239707227814E-2</v>
      </c>
      <c r="BG27">
        <f t="shared" si="35"/>
        <v>5.2885720855369049E-3</v>
      </c>
      <c r="BH27">
        <f t="shared" si="36"/>
        <v>3.7204865251609827E-2</v>
      </c>
      <c r="BI27">
        <f t="shared" si="37"/>
        <v>5.7847896440129452</v>
      </c>
      <c r="BJ27">
        <f t="shared" si="38"/>
        <v>0</v>
      </c>
      <c r="BK27">
        <f t="shared" si="39"/>
        <v>0</v>
      </c>
      <c r="BL27">
        <f t="shared" si="40"/>
        <v>0</v>
      </c>
      <c r="BM27">
        <f t="shared" si="41"/>
        <v>0</v>
      </c>
      <c r="BN27">
        <f t="shared" si="42"/>
        <v>0</v>
      </c>
      <c r="BO27">
        <f t="shared" si="43"/>
        <v>-3.9179104477612005E-2</v>
      </c>
      <c r="BP27">
        <f t="shared" si="44"/>
        <v>3.4321372854914907E-3</v>
      </c>
      <c r="BQ27">
        <f t="shared" si="45"/>
        <v>0</v>
      </c>
      <c r="BR27">
        <f t="shared" si="46"/>
        <v>0.73336938885884262</v>
      </c>
      <c r="BS27" t="e">
        <f t="shared" si="47"/>
        <v>#DIV/0!</v>
      </c>
    </row>
    <row r="28" spans="1:71" ht="15" customHeight="1" x14ac:dyDescent="0.2">
      <c r="A28" s="51" t="s">
        <v>353</v>
      </c>
      <c r="B28" s="47"/>
      <c r="C28" s="6"/>
      <c r="D28" s="65" t="s">
        <v>67</v>
      </c>
      <c r="E28" s="6"/>
      <c r="F28" s="48" t="e">
        <f>VLOOKUP(D28,'12QData'!$A$5:$W$218,2,FALSE)</f>
        <v>#N/A</v>
      </c>
      <c r="G28" s="52"/>
      <c r="H28" s="48">
        <f>VLOOKUP($D28,HData!$A$2:$AE$219,G$3,FALSE)</f>
        <v>0.1396</v>
      </c>
      <c r="I28" s="48">
        <f>VLOOKUP($D28,HData!$A$2:$AE$219,H$3,FALSE)</f>
        <v>0.1326</v>
      </c>
      <c r="J28" s="48">
        <f>VLOOKUP($D28,HData!$A$2:$AE$219,I$3,FALSE)</f>
        <v>0.12</v>
      </c>
      <c r="K28" s="48">
        <f>VLOOKUP($D28,HData!$A$2:$AE$219,J$3,FALSE)</f>
        <v>-4.4699999999999997E-2</v>
      </c>
      <c r="L28" s="48">
        <f>VLOOKUP($D28,HData!$A$2:$AE$219,K$3,FALSE)</f>
        <v>1.9E-2</v>
      </c>
      <c r="M28" s="48">
        <f>VLOOKUP($D28,HData!$A$2:$AE$219,L$3,FALSE)</f>
        <v>1.7500000000000002E-2</v>
      </c>
      <c r="N28" s="48">
        <f>VLOOKUP($D28,HData!$A$2:$AE$219,M$3,FALSE)</f>
        <v>5.8599999999999999E-2</v>
      </c>
      <c r="O28" s="48">
        <f>VLOOKUP($D28,HData!$A$2:$AE$219,N$3,FALSE)</f>
        <v>-6.2899999999999998E-2</v>
      </c>
      <c r="P28" s="48">
        <f>VLOOKUP($D28,HData!$A$2:$AE$219,O$3,FALSE)</f>
        <v>4.6600000000000003E-2</v>
      </c>
      <c r="Q28" s="48">
        <f>VLOOKUP($D28,HData!$A$2:$AE$219,P$3,FALSE)</f>
        <v>0.1255</v>
      </c>
      <c r="R28" s="48">
        <f>VLOOKUP($D28,HData!$A$2:$AE$219,Q$3,FALSE)</f>
        <v>0.1736</v>
      </c>
      <c r="S28" s="48">
        <f>VLOOKUP($D28,HData!$A$2:$AE$219,R$3,FALSE)</f>
        <v>0.16420000000000001</v>
      </c>
      <c r="T28" s="48">
        <f>VLOOKUP($D28,HData!$A$2:$AE$219,S$3,FALSE)</f>
        <v>0.13730000000000001</v>
      </c>
      <c r="U28" s="48">
        <f>VLOOKUP($D28,HData!$A$2:$AE$219,T$3,FALSE)</f>
        <v>0.15029999999999999</v>
      </c>
      <c r="V28" s="48">
        <f>VLOOKUP($D28,HData!$A$2:$AE$219,U$3,FALSE)</f>
        <v>0.1241</v>
      </c>
      <c r="W28" s="30"/>
      <c r="X28" s="58"/>
      <c r="Y28" s="58"/>
      <c r="Z28" s="58"/>
      <c r="AA28" s="58"/>
      <c r="AB28" s="6"/>
      <c r="AC28" s="13" t="s">
        <v>3</v>
      </c>
      <c r="AD28">
        <f t="shared" ref="AD28:AR28" si="48">H9/H6</f>
        <v>0.62417526839697468</v>
      </c>
      <c r="AE28">
        <f t="shared" si="48"/>
        <v>0.54121663766783756</v>
      </c>
      <c r="AF28">
        <f t="shared" si="48"/>
        <v>0.1565952398606065</v>
      </c>
      <c r="AG28">
        <f t="shared" si="48"/>
        <v>0.37307720888756779</v>
      </c>
      <c r="AH28">
        <f t="shared" si="48"/>
        <v>0.27178410794602698</v>
      </c>
      <c r="AI28">
        <f t="shared" si="48"/>
        <v>0.2606704524638212</v>
      </c>
      <c r="AJ28">
        <f t="shared" si="48"/>
        <v>0.32468419255718678</v>
      </c>
      <c r="AK28">
        <f t="shared" si="48"/>
        <v>0.33045089561457691</v>
      </c>
      <c r="AL28">
        <f t="shared" si="48"/>
        <v>0.27988422575976846</v>
      </c>
      <c r="AM28">
        <f t="shared" si="48"/>
        <v>0.14910179640718563</v>
      </c>
      <c r="AN28">
        <f t="shared" si="48"/>
        <v>0.16211020931225972</v>
      </c>
      <c r="AO28">
        <f t="shared" si="48"/>
        <v>0.12009685230024213</v>
      </c>
      <c r="AP28">
        <f t="shared" si="48"/>
        <v>0.15144859813084113</v>
      </c>
      <c r="AQ28">
        <f t="shared" si="48"/>
        <v>0.16215607803901949</v>
      </c>
      <c r="AR28">
        <f t="shared" si="48"/>
        <v>7.2170476996895286E-2</v>
      </c>
      <c r="AS28" s="13">
        <f>AVERAGE(AD28:AR28)</f>
        <v>0.26530814935605401</v>
      </c>
      <c r="AT28" s="24"/>
      <c r="AU28" s="24"/>
      <c r="AV28" s="6"/>
      <c r="AY28" s="67"/>
    </row>
    <row r="29" spans="1:71" ht="15" customHeight="1" x14ac:dyDescent="0.2">
      <c r="A29" s="3" t="s">
        <v>342</v>
      </c>
      <c r="B29" s="58">
        <f>Statistics!B42</f>
        <v>1.0942000000000001</v>
      </c>
      <c r="C29" s="6"/>
      <c r="D29" s="48" t="s">
        <v>256</v>
      </c>
      <c r="E29" s="6"/>
      <c r="F29" s="48">
        <f>VLOOKUP(AY29,'12QData'!$A$5:$W$218,2,FALSE)</f>
        <v>100131</v>
      </c>
      <c r="G29" s="52"/>
      <c r="H29" s="48">
        <f>VLOOKUP($D29,HData!$A$2:$AE$219,G$3,FALSE)</f>
        <v>79327</v>
      </c>
      <c r="I29" s="48">
        <f>VLOOKUP($D29,HData!$A$2:$AE$219,H$3,FALSE)</f>
        <v>42978</v>
      </c>
      <c r="J29" s="48">
        <f>VLOOKUP($D29,HData!$A$2:$AE$219,I$3,FALSE)</f>
        <v>22101</v>
      </c>
      <c r="K29" s="48">
        <f>VLOOKUP($D29,HData!$A$2:$AE$219,J$3,FALSE)</f>
        <v>26612</v>
      </c>
      <c r="L29" s="48">
        <f>VLOOKUP($D29,HData!$A$2:$AE$219,K$3,FALSE)</f>
        <v>16893</v>
      </c>
      <c r="M29" s="48">
        <f>VLOOKUP($D29,HData!$A$2:$AE$219,L$3,FALSE)</f>
        <v>12204</v>
      </c>
      <c r="N29" s="48">
        <f>VLOOKUP($D29,HData!$A$2:$AE$219,M$3,FALSE)</f>
        <v>9342</v>
      </c>
      <c r="O29" s="48">
        <f>VLOOKUP($D29,HData!$A$2:$AE$219,N$3,FALSE)</f>
        <v>7471</v>
      </c>
      <c r="P29" s="48">
        <f>VLOOKUP($D29,HData!$A$2:$AE$219,O$3,FALSE)</f>
        <v>5762</v>
      </c>
      <c r="Q29" s="48">
        <f>VLOOKUP($D29,HData!$A$2:$AE$219,P$3,FALSE)</f>
        <v>4469</v>
      </c>
      <c r="R29" s="48">
        <f>VLOOKUP($D29,HData!$A$2:$AE$219,Q$3,FALSE)</f>
        <v>4418</v>
      </c>
      <c r="S29" s="48">
        <f>VLOOKUP($D29,HData!$A$2:$AE$219,R$3,FALSE)</f>
        <v>4456</v>
      </c>
      <c r="T29" s="48">
        <f>VLOOKUP($D29,HData!$A$2:$AE$219,S$3,FALSE)</f>
        <v>4828</v>
      </c>
      <c r="U29" s="48">
        <f>VLOOKUP($D29,HData!$A$2:$AE$219,T$3,FALSE)</f>
        <v>4146</v>
      </c>
      <c r="V29" s="48">
        <f>VLOOKUP($D29,HData!$A$2:$AE$219,U$3,FALSE)</f>
        <v>3181</v>
      </c>
      <c r="W29" s="30"/>
      <c r="X29" s="58">
        <f t="shared" si="29"/>
        <v>0.51608230753490658</v>
      </c>
      <c r="Y29" s="58">
        <f t="shared" si="30"/>
        <v>0.84575829494159804</v>
      </c>
      <c r="Z29" s="58">
        <f t="shared" si="31"/>
        <v>3.6958503522168944</v>
      </c>
      <c r="AA29" s="58">
        <f t="shared" si="32"/>
        <v>16.750503468337435</v>
      </c>
      <c r="AB29" s="6"/>
      <c r="AC29" t="s">
        <v>509</v>
      </c>
      <c r="AD29">
        <f>AD28*(1-$H$28)</f>
        <v>0.53704040092875704</v>
      </c>
      <c r="AE29">
        <f t="shared" ref="AE29:AO29" si="49">AE28*(1-$H$28)</f>
        <v>0.4656627950494075</v>
      </c>
      <c r="AF29">
        <f t="shared" si="49"/>
        <v>0.13473454437606583</v>
      </c>
      <c r="AG29">
        <f t="shared" si="49"/>
        <v>0.32099563052686336</v>
      </c>
      <c r="AH29">
        <f t="shared" si="49"/>
        <v>0.23384304647676163</v>
      </c>
      <c r="AI29">
        <f t="shared" si="49"/>
        <v>0.22428085729987177</v>
      </c>
      <c r="AJ29">
        <f t="shared" si="49"/>
        <v>0.27935827927620355</v>
      </c>
      <c r="AK29">
        <f t="shared" si="49"/>
        <v>0.284319950586782</v>
      </c>
      <c r="AL29">
        <f t="shared" si="49"/>
        <v>0.24081238784370479</v>
      </c>
      <c r="AM29">
        <f t="shared" si="49"/>
        <v>0.12828718562874253</v>
      </c>
      <c r="AN29">
        <f t="shared" si="49"/>
        <v>0.13947962409226827</v>
      </c>
      <c r="AO29">
        <f t="shared" si="49"/>
        <v>0.10333133171912834</v>
      </c>
      <c r="AP29">
        <f>AP28*(1-$H$28)</f>
        <v>0.13030637383177571</v>
      </c>
      <c r="AQ29">
        <f t="shared" ref="AQ29" si="50">AQ28*(1-$H$28)</f>
        <v>0.13951908954477238</v>
      </c>
      <c r="AR29">
        <f t="shared" ref="AR29" si="51">AR28*(1-$H$28)</f>
        <v>6.2095478408128707E-2</v>
      </c>
      <c r="AS29" s="13">
        <f>AVERAGE(AD29:AR29)</f>
        <v>0.2282711317059489</v>
      </c>
      <c r="AT29" s="24"/>
      <c r="AU29" s="24"/>
      <c r="AV29" s="6"/>
      <c r="AY29" s="67" t="s">
        <v>367</v>
      </c>
      <c r="BE29">
        <f t="shared" si="33"/>
        <v>0.84575829494159804</v>
      </c>
      <c r="BF29">
        <f t="shared" si="34"/>
        <v>0.94461789059318579</v>
      </c>
      <c r="BG29">
        <f t="shared" si="35"/>
        <v>-0.16950999549075604</v>
      </c>
      <c r="BH29">
        <f t="shared" si="36"/>
        <v>0.57532705854495947</v>
      </c>
      <c r="BI29">
        <f t="shared" si="37"/>
        <v>0.38421828908554573</v>
      </c>
      <c r="BJ29">
        <f t="shared" si="38"/>
        <v>0.30635838150289019</v>
      </c>
      <c r="BK29">
        <f t="shared" si="39"/>
        <v>0.25043501539285234</v>
      </c>
      <c r="BL29">
        <f t="shared" si="40"/>
        <v>0.29659840333217635</v>
      </c>
      <c r="BM29">
        <f t="shared" si="41"/>
        <v>0.28932647124636385</v>
      </c>
      <c r="BN29">
        <f t="shared" si="42"/>
        <v>1.1543684925305569E-2</v>
      </c>
      <c r="BO29">
        <f t="shared" si="43"/>
        <v>-8.527827648114902E-3</v>
      </c>
      <c r="BP29">
        <f t="shared" si="44"/>
        <v>-7.705053852526926E-2</v>
      </c>
      <c r="BQ29">
        <f t="shared" si="45"/>
        <v>0.16449589966232514</v>
      </c>
      <c r="BR29">
        <f t="shared" si="46"/>
        <v>0.30336372209996854</v>
      </c>
      <c r="BS29" t="e">
        <f t="shared" si="47"/>
        <v>#DIV/0!</v>
      </c>
    </row>
    <row r="30" spans="1:71" ht="13" customHeight="1" x14ac:dyDescent="0.2">
      <c r="A30" s="3" t="s">
        <v>343</v>
      </c>
      <c r="B30" s="58">
        <f>Statistics!B43</f>
        <v>0.53090000000000004</v>
      </c>
      <c r="C30" s="6"/>
      <c r="D30" s="50" t="s">
        <v>340</v>
      </c>
      <c r="E30" s="44"/>
      <c r="F30" s="52"/>
      <c r="G30" s="52"/>
      <c r="H30" s="52"/>
      <c r="I30" s="52"/>
      <c r="J30" s="52"/>
      <c r="K30" s="52"/>
      <c r="L30" s="52"/>
      <c r="M30" s="52"/>
      <c r="N30" s="52"/>
      <c r="O30" s="52"/>
      <c r="P30" s="52"/>
      <c r="Q30" s="52"/>
      <c r="R30" s="52"/>
      <c r="S30" s="52"/>
      <c r="T30" s="52"/>
      <c r="U30" s="52"/>
      <c r="V30" s="52"/>
      <c r="W30" s="30"/>
      <c r="X30" s="63"/>
      <c r="Y30" s="63"/>
      <c r="Z30" s="63"/>
      <c r="AA30" s="63"/>
      <c r="AB30" s="6"/>
      <c r="AC30" s="13" t="s">
        <v>521</v>
      </c>
      <c r="AD30">
        <f t="shared" ref="AD30:AR30" si="52">H15/H6</f>
        <v>1.4283853268657517E-2</v>
      </c>
      <c r="AE30">
        <f t="shared" si="52"/>
        <v>2.4752962804898065E-2</v>
      </c>
      <c r="AF30">
        <f t="shared" si="52"/>
        <v>5.7240305479350488E-2</v>
      </c>
      <c r="AG30">
        <f t="shared" si="52"/>
        <v>4.362042059894479E-2</v>
      </c>
      <c r="AH30">
        <f t="shared" si="52"/>
        <v>6.5847076461769113E-2</v>
      </c>
      <c r="AI30">
        <f t="shared" si="52"/>
        <v>3.4896501190694269E-2</v>
      </c>
      <c r="AJ30">
        <f t="shared" si="52"/>
        <v>2.2362581085694777E-2</v>
      </c>
      <c r="AK30">
        <f t="shared" si="52"/>
        <v>2.0485896644018942E-2</v>
      </c>
      <c r="AL30">
        <f t="shared" si="52"/>
        <v>2.7062228654124457E-2</v>
      </c>
      <c r="AM30">
        <f t="shared" si="52"/>
        <v>3.932135728542914E-2</v>
      </c>
      <c r="AN30">
        <f t="shared" si="52"/>
        <v>4.698846646732166E-2</v>
      </c>
      <c r="AO30">
        <f t="shared" si="52"/>
        <v>5.7869249394673125E-2</v>
      </c>
      <c r="AP30">
        <f t="shared" si="52"/>
        <v>5.2850467289719621E-2</v>
      </c>
      <c r="AQ30">
        <f t="shared" si="52"/>
        <v>5.1075537768884439E-2</v>
      </c>
      <c r="AR30">
        <f t="shared" si="52"/>
        <v>5.2780129833474458E-2</v>
      </c>
      <c r="AS30" s="13">
        <f>AVERAGE(AD30:AR30)</f>
        <v>4.0762468948510322E-2</v>
      </c>
      <c r="AT30" s="6"/>
      <c r="AU30" s="6"/>
      <c r="AV30" s="6"/>
      <c r="AY30" s="64" t="s">
        <v>340</v>
      </c>
    </row>
    <row r="31" spans="1:71" ht="14" customHeight="1" x14ac:dyDescent="0.2">
      <c r="A31" s="3" t="s">
        <v>344</v>
      </c>
      <c r="B31" s="58">
        <f>Statistics!B44</f>
        <v>0.67059999999999997</v>
      </c>
      <c r="C31" s="6"/>
      <c r="D31" s="48" t="s">
        <v>6</v>
      </c>
      <c r="E31" s="44"/>
      <c r="F31" s="48">
        <f>VLOOKUP(AY31,'12QData'!$A$5:$W$218,2,FALSE)</f>
        <v>72023</v>
      </c>
      <c r="G31" s="52"/>
      <c r="H31" s="48">
        <f>VLOOKUP($D31,HData!$A$2:$AE$219,H$3,FALSE)</f>
        <v>60853</v>
      </c>
      <c r="I31" s="48">
        <f>VLOOKUP($D31,HData!$A$2:$AE$219,I$3,FALSE)</f>
        <v>27021</v>
      </c>
      <c r="J31" s="48">
        <f>VLOOKUP($D31,HData!$A$2:$AE$219,J$3,FALSE)</f>
        <v>3808</v>
      </c>
      <c r="K31" s="48">
        <f>VLOOKUP($D31,HData!$A$2:$AE$219,K$3,FALSE)</f>
        <v>8132</v>
      </c>
      <c r="L31" s="48">
        <f>VLOOKUP($D31,HData!$A$2:$AE$219,L$3,FALSE)</f>
        <v>4694</v>
      </c>
      <c r="M31" s="48">
        <f>VLOOKUP($D31,HData!$A$2:$AE$219,M$3,FALSE)</f>
        <v>4272</v>
      </c>
      <c r="N31" s="48">
        <f>VLOOKUP($D31,HData!$A$2:$AE$219,N$3,FALSE)</f>
        <v>3143</v>
      </c>
      <c r="O31" s="48">
        <f>VLOOKUP($D31,HData!$A$2:$AE$219,O$3,FALSE)</f>
        <v>2909</v>
      </c>
      <c r="P31" s="48">
        <f>VLOOKUP($D31,HData!$A$2:$AE$219,P$3,FALSE)</f>
        <v>1496</v>
      </c>
      <c r="Q31" s="48">
        <f>VLOOKUP($D31,HData!$A$2:$AE$219,Q$3,FALSE)</f>
        <v>1089</v>
      </c>
      <c r="R31" s="48">
        <f>VLOOKUP($D31,HData!$A$2:$AE$219,R$3,FALSE)</f>
        <v>784</v>
      </c>
      <c r="S31" s="48">
        <f>VLOOKUP($D31,HData!$A$2:$AE$219,S$3,FALSE)</f>
        <v>580</v>
      </c>
      <c r="T31" s="48">
        <f>VLOOKUP($D31,HData!$A$2:$AE$219,T$3,FALSE)</f>
        <v>640.9</v>
      </c>
      <c r="U31" s="48">
        <f>VLOOKUP($D31,HData!$A$2:$AE$219,U$3,FALSE)</f>
        <v>770.4</v>
      </c>
      <c r="V31" s="48">
        <f>VLOOKUP($D31,HData!$A$2:$AE$219,V$3,FALSE)</f>
        <v>577.9</v>
      </c>
      <c r="W31" s="30"/>
      <c r="X31" s="58">
        <f>AVERAGE(BE31:BI31)</f>
        <v>1.5294789361925321</v>
      </c>
      <c r="Y31" s="58">
        <f>(H31-I31)/I31</f>
        <v>1.2520632100958513</v>
      </c>
      <c r="Z31" s="58">
        <f>(H31-L31)/L31</f>
        <v>11.963996591393268</v>
      </c>
      <c r="AA31" s="58">
        <f>(H31-Q31)/Q31</f>
        <v>54.879706152433428</v>
      </c>
      <c r="AB31" s="6"/>
      <c r="AC31" s="13" t="s">
        <v>508</v>
      </c>
      <c r="AD31">
        <f t="shared" ref="AD31:AR31" si="53">H33/H6</f>
        <v>-2.4797504923484832E-2</v>
      </c>
      <c r="AE31">
        <f t="shared" si="53"/>
        <v>-1.7547027346442992E-2</v>
      </c>
      <c r="AF31">
        <f t="shared" si="53"/>
        <v>-6.7954326388373995E-2</v>
      </c>
      <c r="AG31">
        <f t="shared" si="53"/>
        <v>-3.6263654603552055E-2</v>
      </c>
      <c r="AH31">
        <f t="shared" si="53"/>
        <v>-6.7646176911544231E-2</v>
      </c>
      <c r="AI31">
        <f t="shared" si="53"/>
        <v>-4.478842278805642E-2</v>
      </c>
      <c r="AJ31">
        <f t="shared" si="53"/>
        <v>-5.1212017753499491E-2</v>
      </c>
      <c r="AK31">
        <f t="shared" si="53"/>
        <v>-6.1045913115091617E-2</v>
      </c>
      <c r="AL31">
        <f t="shared" si="53"/>
        <v>-2.5470332850940667E-2</v>
      </c>
      <c r="AM31">
        <f t="shared" si="53"/>
        <v>-1.716566866267465E-2</v>
      </c>
      <c r="AN31">
        <f t="shared" si="53"/>
        <v>-2.6057240495514736E-2</v>
      </c>
      <c r="AO31">
        <f t="shared" si="53"/>
        <v>-6.1743341404358353E-2</v>
      </c>
      <c r="AP31">
        <f t="shared" si="53"/>
        <v>-4.2827102803738318E-2</v>
      </c>
      <c r="AQ31">
        <f t="shared" si="53"/>
        <v>-3.4692346173086537E-2</v>
      </c>
      <c r="AR31">
        <f t="shared" si="53"/>
        <v>-2.7629127857747671E-2</v>
      </c>
      <c r="AS31" s="13">
        <f>AVERAGE(AD31:AR31)</f>
        <v>-4.0456013605207113E-2</v>
      </c>
      <c r="AT31" s="6"/>
      <c r="AU31" s="6"/>
      <c r="AV31" s="6"/>
      <c r="AY31" s="66" t="s">
        <v>6</v>
      </c>
      <c r="BE31">
        <f>(H31-I31)/I31</f>
        <v>1.2520632100958513</v>
      </c>
      <c r="BF31">
        <f t="shared" ref="BE31:BS35" si="54">(I31-J31)/J31</f>
        <v>6.0958508403361344</v>
      </c>
      <c r="BG31">
        <f t="shared" si="54"/>
        <v>-0.53172651254303982</v>
      </c>
      <c r="BH31">
        <f t="shared" si="54"/>
        <v>0.73242437153813378</v>
      </c>
      <c r="BI31">
        <f t="shared" si="54"/>
        <v>9.878277153558053E-2</v>
      </c>
      <c r="BJ31">
        <f t="shared" si="54"/>
        <v>0.35921094495704742</v>
      </c>
      <c r="BK31">
        <f t="shared" si="54"/>
        <v>8.0440013750429695E-2</v>
      </c>
      <c r="BL31">
        <f t="shared" si="54"/>
        <v>0.94451871657754005</v>
      </c>
      <c r="BM31">
        <f t="shared" si="54"/>
        <v>0.37373737373737376</v>
      </c>
      <c r="BN31">
        <f t="shared" si="54"/>
        <v>0.38903061224489793</v>
      </c>
      <c r="BO31">
        <f t="shared" si="54"/>
        <v>0.35172413793103446</v>
      </c>
      <c r="BP31">
        <f t="shared" si="54"/>
        <v>-9.5022624434389108E-2</v>
      </c>
      <c r="BQ31">
        <f t="shared" si="54"/>
        <v>-0.1680944963655244</v>
      </c>
      <c r="BR31">
        <f t="shared" si="54"/>
        <v>0.33310261290880777</v>
      </c>
      <c r="BS31" t="e">
        <f t="shared" si="54"/>
        <v>#DIV/0!</v>
      </c>
    </row>
    <row r="32" spans="1:71" ht="14" customHeight="1" x14ac:dyDescent="0.2">
      <c r="A32" s="3" t="s">
        <v>345</v>
      </c>
      <c r="B32" s="58">
        <f>Statistics!B45</f>
        <v>0.82399999999999995</v>
      </c>
      <c r="C32" s="6"/>
      <c r="D32" s="48" t="s">
        <v>341</v>
      </c>
      <c r="E32" s="44"/>
      <c r="F32" s="48">
        <f>VLOOKUP(AY32,'12QData'!$A$5:$W$218,2,FALSE)</f>
        <v>77035</v>
      </c>
      <c r="G32" s="52"/>
      <c r="H32" s="48">
        <f>VLOOKUP($D32,HData!$A$2:$AE$219,H$3,FALSE)</f>
        <v>64089</v>
      </c>
      <c r="I32" s="48">
        <f>VLOOKUP($D32,HData!$A$2:$AE$219,I$3,FALSE)</f>
        <v>28090</v>
      </c>
      <c r="J32" s="48">
        <f>VLOOKUP($D32,HData!$A$2:$AE$219,J$3,FALSE)</f>
        <v>5641</v>
      </c>
      <c r="K32" s="48">
        <f>VLOOKUP($D32,HData!$A$2:$AE$219,K$3,FALSE)</f>
        <v>9108</v>
      </c>
      <c r="L32" s="48">
        <f>VLOOKUP($D32,HData!$A$2:$AE$219,L$3,FALSE)</f>
        <v>5822</v>
      </c>
      <c r="M32" s="48">
        <f>VLOOKUP($D32,HData!$A$2:$AE$219,M$3,FALSE)</f>
        <v>4761</v>
      </c>
      <c r="N32" s="48">
        <f>VLOOKUP($D32,HData!$A$2:$AE$219,N$3,FALSE)</f>
        <v>3743</v>
      </c>
      <c r="O32" s="48">
        <f>VLOOKUP($D32,HData!$A$2:$AE$219,O$3,FALSE)</f>
        <v>3502</v>
      </c>
      <c r="P32" s="48">
        <f>VLOOKUP($D32,HData!$A$2:$AE$219,P$3,FALSE)</f>
        <v>1672</v>
      </c>
      <c r="Q32" s="48">
        <f>VLOOKUP($D32,HData!$A$2:$AE$219,Q$3,FALSE)</f>
        <v>1175</v>
      </c>
      <c r="R32" s="48">
        <f>VLOOKUP($D32,HData!$A$2:$AE$219,R$3,FALSE)</f>
        <v>906</v>
      </c>
      <c r="S32" s="48">
        <f>VLOOKUP($D32,HData!$A$2:$AE$219,S$3,FALSE)</f>
        <v>835</v>
      </c>
      <c r="T32" s="48">
        <f>VLOOKUP($D32,HData!$A$2:$AE$219,T$3,FALSE)</f>
        <v>824.2</v>
      </c>
      <c r="U32" s="48">
        <f>VLOOKUP($D32,HData!$A$2:$AE$219,U$3,FALSE)</f>
        <v>909.2</v>
      </c>
      <c r="V32" s="48">
        <f>VLOOKUP($D32,HData!$A$2:$AE$219,V$3,FALSE)</f>
        <v>675.8</v>
      </c>
      <c r="W32" s="30"/>
      <c r="X32" s="58">
        <f>AVERAGE(BE32:BI32)</f>
        <v>1.1335563289994313</v>
      </c>
      <c r="Y32" s="58">
        <f>(H32-I32)/I32</f>
        <v>1.2815592737629049</v>
      </c>
      <c r="Z32" s="58">
        <f>(H32-L32)/L32</f>
        <v>10.008072827207146</v>
      </c>
      <c r="AA32" s="58">
        <f>(H32-Q32)/Q32</f>
        <v>53.543829787234046</v>
      </c>
      <c r="AB32" s="6"/>
      <c r="AC32" s="13" t="s">
        <v>520</v>
      </c>
      <c r="AD32">
        <f t="shared" ref="AD32:AR32" si="55">((H19-H21)-(I19-I21))/H6</f>
        <v>0.21736131865100347</v>
      </c>
      <c r="AE32">
        <f t="shared" si="55"/>
        <v>0.28239388069991134</v>
      </c>
      <c r="AF32">
        <f t="shared" si="55"/>
        <v>-0.29598872988804031</v>
      </c>
      <c r="AG32">
        <f t="shared" si="55"/>
        <v>0.45938916549007952</v>
      </c>
      <c r="AH32">
        <f t="shared" si="55"/>
        <v>1.3433283358320839E-2</v>
      </c>
      <c r="AI32">
        <f t="shared" si="55"/>
        <v>0.24528301886792453</v>
      </c>
      <c r="AJ32">
        <f t="shared" si="55"/>
        <v>9.610788665073404E-2</v>
      </c>
      <c r="AK32">
        <f t="shared" si="55"/>
        <v>0.14257772287420217</v>
      </c>
      <c r="AL32">
        <f t="shared" si="55"/>
        <v>0.44891461649782921</v>
      </c>
      <c r="AM32">
        <f t="shared" si="55"/>
        <v>-0.23992015968063873</v>
      </c>
      <c r="AN32">
        <f t="shared" si="55"/>
        <v>2.9367791542076038E-2</v>
      </c>
      <c r="AO32">
        <f t="shared" si="55"/>
        <v>0.21324455205811133</v>
      </c>
      <c r="AP32">
        <f t="shared" si="55"/>
        <v>0.19247663551401872</v>
      </c>
      <c r="AQ32">
        <f t="shared" si="55"/>
        <v>0.17276138069034513</v>
      </c>
      <c r="AR32">
        <f t="shared" si="55"/>
        <v>-5.5517922664408643E-2</v>
      </c>
      <c r="AS32" s="13">
        <f>AVERAGE(AD32:AR32)</f>
        <v>0.12812562937743127</v>
      </c>
      <c r="AT32" s="6"/>
      <c r="AU32" s="6"/>
      <c r="AV32" s="6"/>
      <c r="AY32" s="66" t="s">
        <v>153</v>
      </c>
      <c r="BE32">
        <f t="shared" si="54"/>
        <v>1.2815592737629049</v>
      </c>
      <c r="BF32">
        <f t="shared" si="54"/>
        <v>3.9796135436979259</v>
      </c>
      <c r="BG32">
        <f t="shared" si="54"/>
        <v>-0.38065436978480455</v>
      </c>
      <c r="BH32">
        <f t="shared" si="54"/>
        <v>0.56441085537615943</v>
      </c>
      <c r="BI32">
        <f t="shared" si="54"/>
        <v>0.22285234194496956</v>
      </c>
      <c r="BJ32">
        <f t="shared" si="54"/>
        <v>0.27197435212396476</v>
      </c>
      <c r="BK32">
        <f t="shared" si="54"/>
        <v>6.8817818389491719E-2</v>
      </c>
      <c r="BL32">
        <f t="shared" si="54"/>
        <v>1.0944976076555024</v>
      </c>
      <c r="BM32">
        <f t="shared" si="54"/>
        <v>0.4229787234042553</v>
      </c>
      <c r="BN32">
        <f t="shared" si="54"/>
        <v>0.2969094922737307</v>
      </c>
      <c r="BO32">
        <f t="shared" si="54"/>
        <v>8.5029940119760478E-2</v>
      </c>
      <c r="BP32">
        <f t="shared" si="54"/>
        <v>1.3103615627274877E-2</v>
      </c>
      <c r="BQ32">
        <f t="shared" si="54"/>
        <v>-9.3488781346238448E-2</v>
      </c>
      <c r="BR32">
        <f t="shared" si="54"/>
        <v>0.34536845220479445</v>
      </c>
      <c r="BS32" t="e">
        <f t="shared" si="54"/>
        <v>#DIV/0!</v>
      </c>
    </row>
    <row r="33" spans="1:73" ht="14" customHeight="1" x14ac:dyDescent="0.2">
      <c r="A33" s="3" t="s">
        <v>30</v>
      </c>
      <c r="B33" s="58">
        <f>Statistics!B105</f>
        <v>1.9099999999999999E-2</v>
      </c>
      <c r="C33" s="6"/>
      <c r="D33" s="48" t="s">
        <v>285</v>
      </c>
      <c r="E33" s="44"/>
      <c r="F33" s="48">
        <f>VLOOKUP(AY33,'12QData'!$A$5:$W$218,2,FALSE)</f>
        <v>-5012</v>
      </c>
      <c r="G33" s="52"/>
      <c r="H33" s="48">
        <f>VLOOKUP($D33,HData!$A$2:$AE$219,H$3,FALSE)</f>
        <v>-3236</v>
      </c>
      <c r="I33" s="48">
        <f>VLOOKUP($D33,HData!$A$2:$AE$219,I$3,FALSE)</f>
        <v>-1069</v>
      </c>
      <c r="J33" s="48">
        <f>VLOOKUP($D33,HData!$A$2:$AE$219,J$3,FALSE)</f>
        <v>-1833</v>
      </c>
      <c r="K33" s="48">
        <f>VLOOKUP($D33,HData!$A$2:$AE$219,K$3,FALSE)</f>
        <v>-976</v>
      </c>
      <c r="L33" s="48">
        <f>VLOOKUP($D33,HData!$A$2:$AE$219,L$3,FALSE)</f>
        <v>-1128</v>
      </c>
      <c r="M33" s="48">
        <f>VLOOKUP($D33,HData!$A$2:$AE$219,M$3,FALSE)</f>
        <v>-489</v>
      </c>
      <c r="N33" s="48">
        <f>VLOOKUP($D33,HData!$A$2:$AE$219,N$3,FALSE)</f>
        <v>-600</v>
      </c>
      <c r="O33" s="48">
        <f>VLOOKUP($D33,HData!$A$2:$AE$219,O$3,FALSE)</f>
        <v>-593</v>
      </c>
      <c r="P33" s="48">
        <f>VLOOKUP($D33,HData!$A$2:$AE$219,P$3,FALSE)</f>
        <v>-176</v>
      </c>
      <c r="Q33" s="48">
        <f>VLOOKUP($D33,HData!$A$2:$AE$219,Q$3,FALSE)</f>
        <v>-86</v>
      </c>
      <c r="R33" s="48">
        <f>VLOOKUP($D33,HData!$A$2:$AE$219,R$3,FALSE)</f>
        <v>-122</v>
      </c>
      <c r="S33" s="48">
        <f>VLOOKUP($D33,HData!$A$2:$AE$219,S$3,FALSE)</f>
        <v>-255</v>
      </c>
      <c r="T33" s="48">
        <f>VLOOKUP($D33,HData!$A$2:$AE$219,T$3,FALSE)</f>
        <v>-183.3</v>
      </c>
      <c r="U33" s="48">
        <f>VLOOKUP($D33,HData!$A$2:$AE$219,U$3,FALSE)</f>
        <v>-138.69999999999999</v>
      </c>
      <c r="V33" s="48">
        <f>VLOOKUP($D33,HData!$A$2:$AE$219,V$3,FALSE)</f>
        <v>-97.89</v>
      </c>
      <c r="W33" s="30"/>
      <c r="X33" s="58">
        <f>AVERAGE(BE33:BI33)</f>
        <v>0.73207911315102403</v>
      </c>
      <c r="Y33" s="58">
        <f>(H33-I33)/I33</f>
        <v>2.0271281571562207</v>
      </c>
      <c r="Z33" s="58">
        <f>(H33-L33)/L33</f>
        <v>1.8687943262411348</v>
      </c>
      <c r="AA33" s="58">
        <f>(H33-Q33)/Q33</f>
        <v>36.627906976744185</v>
      </c>
      <c r="AB33" s="6"/>
      <c r="AC33" s="6"/>
      <c r="AD33" s="6"/>
      <c r="AE33" s="6"/>
      <c r="AF33" s="6"/>
      <c r="AG33" s="6"/>
      <c r="AH33" s="6"/>
      <c r="AI33" s="6"/>
      <c r="AJ33" s="6"/>
      <c r="AK33" s="6"/>
      <c r="AL33" s="6"/>
      <c r="AM33" s="6"/>
      <c r="AN33" s="6"/>
      <c r="AO33" s="6"/>
      <c r="AP33" s="6"/>
      <c r="AQ33" s="6"/>
      <c r="AR33" s="6"/>
      <c r="AS33" s="6"/>
      <c r="AT33" s="6"/>
      <c r="AU33" s="6"/>
      <c r="AV33" s="6"/>
      <c r="AY33" s="66" t="s">
        <v>154</v>
      </c>
      <c r="BE33">
        <f t="shared" si="54"/>
        <v>2.0271281571562207</v>
      </c>
      <c r="BF33">
        <f t="shared" si="54"/>
        <v>-0.41680305510092747</v>
      </c>
      <c r="BG33">
        <f t="shared" si="54"/>
        <v>0.87807377049180324</v>
      </c>
      <c r="BH33">
        <f t="shared" si="54"/>
        <v>-0.13475177304964539</v>
      </c>
      <c r="BI33">
        <f t="shared" si="54"/>
        <v>1.3067484662576687</v>
      </c>
      <c r="BJ33">
        <f t="shared" si="54"/>
        <v>-0.185</v>
      </c>
      <c r="BK33">
        <f t="shared" si="54"/>
        <v>1.1804384485666104E-2</v>
      </c>
      <c r="BL33">
        <f t="shared" si="54"/>
        <v>2.3693181818181817</v>
      </c>
      <c r="BM33">
        <f t="shared" si="54"/>
        <v>1.0465116279069768</v>
      </c>
      <c r="BN33">
        <f t="shared" si="54"/>
        <v>-0.29508196721311475</v>
      </c>
      <c r="BO33">
        <f t="shared" si="54"/>
        <v>-0.52156862745098043</v>
      </c>
      <c r="BP33">
        <f t="shared" si="54"/>
        <v>0.39116202945990169</v>
      </c>
      <c r="BQ33">
        <f t="shared" si="54"/>
        <v>0.32155731795241549</v>
      </c>
      <c r="BR33">
        <f t="shared" si="54"/>
        <v>0.41689651649810999</v>
      </c>
      <c r="BS33" t="e">
        <f t="shared" si="54"/>
        <v>#DIV/0!</v>
      </c>
    </row>
    <row r="34" spans="1:73" ht="14" customHeight="1" x14ac:dyDescent="0.2">
      <c r="A34" s="3" t="s">
        <v>31</v>
      </c>
      <c r="B34" s="58">
        <f>Statistics!B106</f>
        <v>1.5900000000000001E-2</v>
      </c>
      <c r="C34" s="6"/>
      <c r="D34" s="48" t="s">
        <v>269</v>
      </c>
      <c r="E34" s="44"/>
      <c r="F34" s="48" t="e">
        <f>VLOOKUP(AY34,'12QData'!$A$5:$W$218,2,FALSE)</f>
        <v>#N/A</v>
      </c>
      <c r="G34" s="52"/>
      <c r="H34" s="48">
        <f>VLOOKUP($D34,HData!$A$2:$AE$219,H$3,FALSE)</f>
        <v>-13063</v>
      </c>
      <c r="I34" s="48">
        <f>VLOOKUP($D34,HData!$A$2:$AE$219,I$3,FALSE)</f>
        <v>-6172</v>
      </c>
      <c r="J34" s="48">
        <f>VLOOKUP($D34,HData!$A$2:$AE$219,J$3,FALSE)</f>
        <v>822</v>
      </c>
      <c r="K34" s="48">
        <f>VLOOKUP($D34,HData!$A$2:$AE$219,K$3,FALSE)</f>
        <v>-2215</v>
      </c>
      <c r="L34" s="48">
        <f>VLOOKUP($D34,HData!$A$2:$AE$219,L$3,FALSE)</f>
        <v>-550</v>
      </c>
      <c r="M34" s="48">
        <f>VLOOKUP($D34,HData!$A$2:$AE$219,M$3,FALSE)</f>
        <v>-233</v>
      </c>
      <c r="N34" s="48">
        <f>VLOOKUP($D34,HData!$A$2:$AE$219,N$3,FALSE)</f>
        <v>-149</v>
      </c>
      <c r="O34" s="48">
        <f>VLOOKUP($D34,HData!$A$2:$AE$219,O$3,FALSE)</f>
        <v>-440</v>
      </c>
      <c r="P34" s="48">
        <f>VLOOKUP($D34,HData!$A$2:$AE$219,P$3,FALSE)</f>
        <v>-321</v>
      </c>
      <c r="Q34" s="48">
        <f>VLOOKUP($D34,HData!$A$2:$AE$219,Q$3,FALSE)</f>
        <v>-32</v>
      </c>
      <c r="R34" s="48">
        <f>VLOOKUP($D34,HData!$A$2:$AE$219,R$3,FALSE)</f>
        <v>-49</v>
      </c>
      <c r="S34" s="48">
        <f>VLOOKUP($D34,HData!$A$2:$AE$219,S$3,FALSE)</f>
        <v>29</v>
      </c>
      <c r="T34" s="48">
        <f>VLOOKUP($D34,HData!$A$2:$AE$219,T$3,FALSE)</f>
        <v>-118.9</v>
      </c>
      <c r="U34" s="48">
        <f>VLOOKUP($D34,HData!$A$2:$AE$219,U$3,FALSE)</f>
        <v>26.24</v>
      </c>
      <c r="V34" s="48">
        <f>VLOOKUP($D34,HData!$A$2:$AE$219,V$3,FALSE)</f>
        <v>26.34</v>
      </c>
      <c r="W34" s="43"/>
      <c r="X34" s="58">
        <f>AVERAGE(BE34:BI34)</f>
        <v>-0.87506806359973177</v>
      </c>
      <c r="Y34" s="58">
        <f>(H34-I34)/I34</f>
        <v>1.1164938431626701</v>
      </c>
      <c r="Z34" s="58">
        <f>(H34-L34)/L34</f>
        <v>22.75090909090909</v>
      </c>
      <c r="AA34" s="58">
        <f>(H34-Q34)/Q34</f>
        <v>407.21875</v>
      </c>
      <c r="AB34" s="6"/>
      <c r="AC34" s="13" t="s">
        <v>618</v>
      </c>
      <c r="AS34" t="s">
        <v>75</v>
      </c>
      <c r="AT34" s="6"/>
      <c r="AU34" s="6"/>
      <c r="AV34" s="6"/>
      <c r="AY34" s="66" t="s">
        <v>269</v>
      </c>
      <c r="BE34">
        <f t="shared" si="54"/>
        <v>1.1164938431626701</v>
      </c>
      <c r="BF34">
        <f t="shared" si="54"/>
        <v>-8.5085158150851576</v>
      </c>
      <c r="BG34">
        <f t="shared" si="54"/>
        <v>-1.3711060948081264</v>
      </c>
      <c r="BH34">
        <f t="shared" si="54"/>
        <v>3.0272727272727273</v>
      </c>
      <c r="BI34">
        <f t="shared" si="54"/>
        <v>1.3605150214592274</v>
      </c>
      <c r="BJ34">
        <f t="shared" si="54"/>
        <v>0.56375838926174493</v>
      </c>
      <c r="BK34">
        <f t="shared" si="54"/>
        <v>-0.66136363636363638</v>
      </c>
      <c r="BL34">
        <f t="shared" si="54"/>
        <v>0.37071651090342678</v>
      </c>
      <c r="BM34">
        <f t="shared" si="54"/>
        <v>9.03125</v>
      </c>
      <c r="BN34">
        <f t="shared" si="54"/>
        <v>-0.34693877551020408</v>
      </c>
      <c r="BO34">
        <f t="shared" si="54"/>
        <v>-2.6896551724137931</v>
      </c>
      <c r="BP34">
        <f t="shared" si="54"/>
        <v>-1.2439024390243902</v>
      </c>
      <c r="BQ34">
        <f t="shared" si="54"/>
        <v>-5.5312500000000009</v>
      </c>
      <c r="BR34">
        <f t="shared" si="54"/>
        <v>-3.7965072133637596E-3</v>
      </c>
      <c r="BS34" t="e">
        <f t="shared" si="54"/>
        <v>#DIV/0!</v>
      </c>
    </row>
    <row r="35" spans="1:73" ht="15" customHeight="1" x14ac:dyDescent="0.2">
      <c r="A35" s="20"/>
      <c r="B35" s="21"/>
      <c r="C35" s="6"/>
      <c r="D35" s="48" t="s">
        <v>277</v>
      </c>
      <c r="E35" s="44"/>
      <c r="F35" s="48" t="str">
        <f>VLOOKUP(AY35,'12QData'!$A$5:$W$218,2,FALSE)</f>
        <v>-</v>
      </c>
      <c r="G35" s="52"/>
      <c r="H35" s="48">
        <f>VLOOKUP($D35,HData!$A$2:$AE$219,H$3,FALSE)</f>
        <v>-1250</v>
      </c>
      <c r="I35" s="48">
        <f>VLOOKUP($D35,HData!$A$2:$AE$219,I$3,FALSE)</f>
        <v>-1250</v>
      </c>
      <c r="J35" s="48">
        <f>VLOOKUP($D35,HData!$A$2:$AE$219,J$3,FALSE)</f>
        <v>0</v>
      </c>
      <c r="K35" s="48">
        <f>VLOOKUP($D35,HData!$A$2:$AE$219,K$3,FALSE)</f>
        <v>3977</v>
      </c>
      <c r="L35" s="48">
        <f>VLOOKUP($D35,HData!$A$2:$AE$219,L$3,FALSE)</f>
        <v>4968</v>
      </c>
      <c r="M35" s="48">
        <f>VLOOKUP($D35,HData!$A$2:$AE$219,M$3,FALSE)</f>
        <v>0</v>
      </c>
      <c r="N35" s="48">
        <f>VLOOKUP($D35,HData!$A$2:$AE$219,N$3,FALSE)</f>
        <v>-16</v>
      </c>
      <c r="O35" s="48">
        <f>VLOOKUP($D35,HData!$A$2:$AE$219,O$3,FALSE)</f>
        <v>-812</v>
      </c>
      <c r="P35" s="48">
        <f>VLOOKUP($D35,HData!$A$2:$AE$219,P$3,FALSE)</f>
        <v>-673</v>
      </c>
      <c r="Q35" s="48">
        <f>VLOOKUP($D35,HData!$A$2:$AE$219,Q$3,FALSE)</f>
        <v>0</v>
      </c>
      <c r="R35" s="48">
        <f>VLOOKUP($D35,HData!$A$2:$AE$219,R$3,FALSE)</f>
        <v>0</v>
      </c>
      <c r="S35" s="48">
        <f>VLOOKUP($D35,HData!$A$2:$AE$219,S$3,FALSE)</f>
        <v>1476</v>
      </c>
      <c r="T35" s="48">
        <f>VLOOKUP($D35,HData!$A$2:$AE$219,T$3,FALSE)</f>
        <v>-2.0499999999999998</v>
      </c>
      <c r="U35" s="48">
        <f>VLOOKUP($D35,HData!$A$2:$AE$219,U$3,FALSE)</f>
        <v>-1.61</v>
      </c>
      <c r="V35" s="48">
        <f>VLOOKUP($D35,HData!$A$2:$AE$219,V$3,FALSE)</f>
        <v>-0.57099999999999995</v>
      </c>
      <c r="W35" s="43"/>
      <c r="X35" s="58" t="e">
        <f>AVERAGE(BE35:BI35)</f>
        <v>#DIV/0!</v>
      </c>
      <c r="Y35" s="58">
        <f>(H35-I35)/I35</f>
        <v>0</v>
      </c>
      <c r="Z35" s="58">
        <f>(H35-L35)/L35</f>
        <v>-1.2516103059581321</v>
      </c>
      <c r="AA35" s="58" t="e">
        <f>(H35-Q35)/Q35</f>
        <v>#DIV/0!</v>
      </c>
      <c r="AB35" s="6"/>
      <c r="AC35">
        <f t="shared" ref="AC35:AP35" si="56">(H6-I6)/I6</f>
        <v>1.1420340763599357</v>
      </c>
      <c r="AD35">
        <f t="shared" si="56"/>
        <v>1.2585452658115222</v>
      </c>
      <c r="AE35">
        <f t="shared" si="56"/>
        <v>2.2293230289068887E-3</v>
      </c>
      <c r="AF35">
        <f t="shared" si="56"/>
        <v>0.61403298350824587</v>
      </c>
      <c r="AG35">
        <f t="shared" si="56"/>
        <v>0.52729437625938813</v>
      </c>
      <c r="AH35">
        <f t="shared" si="56"/>
        <v>-6.8111983612154314E-2</v>
      </c>
      <c r="AI35">
        <f t="shared" si="56"/>
        <v>0.20609429689108502</v>
      </c>
      <c r="AJ35">
        <f t="shared" si="56"/>
        <v>0.4057887120115774</v>
      </c>
      <c r="AK35">
        <f t="shared" si="56"/>
        <v>0.37924151696606784</v>
      </c>
      <c r="AL35">
        <f t="shared" si="56"/>
        <v>7.0055531824006839E-2</v>
      </c>
      <c r="AM35">
        <f t="shared" si="56"/>
        <v>0.13365617433414043</v>
      </c>
      <c r="AN35">
        <f t="shared" si="56"/>
        <v>-3.5046728971962614E-2</v>
      </c>
      <c r="AO35">
        <f t="shared" si="56"/>
        <v>7.0535267633816914E-2</v>
      </c>
      <c r="AP35">
        <f t="shared" si="56"/>
        <v>0.12842224103866778</v>
      </c>
      <c r="AS35">
        <f>AVERAGE(AE35:AP35)</f>
        <v>0.2028493092426488</v>
      </c>
      <c r="AT35" s="6"/>
      <c r="AU35" s="6"/>
      <c r="AV35" s="6"/>
      <c r="AY35" s="66" t="s">
        <v>160</v>
      </c>
      <c r="BE35">
        <f t="shared" si="54"/>
        <v>0</v>
      </c>
      <c r="BF35" t="e">
        <f t="shared" si="54"/>
        <v>#DIV/0!</v>
      </c>
      <c r="BG35">
        <f t="shared" si="54"/>
        <v>-1</v>
      </c>
      <c r="BH35">
        <f t="shared" si="54"/>
        <v>-0.19947665056360708</v>
      </c>
      <c r="BI35" t="e">
        <f t="shared" si="54"/>
        <v>#DIV/0!</v>
      </c>
      <c r="BJ35">
        <f t="shared" si="54"/>
        <v>-1</v>
      </c>
      <c r="BK35">
        <f t="shared" si="54"/>
        <v>-0.98029556650246308</v>
      </c>
      <c r="BL35">
        <f t="shared" si="54"/>
        <v>0.20653789004457651</v>
      </c>
      <c r="BM35" t="e">
        <f t="shared" si="54"/>
        <v>#DIV/0!</v>
      </c>
      <c r="BN35" t="e">
        <f t="shared" si="54"/>
        <v>#DIV/0!</v>
      </c>
      <c r="BO35">
        <f t="shared" si="54"/>
        <v>-1</v>
      </c>
      <c r="BP35">
        <f t="shared" si="54"/>
        <v>-721</v>
      </c>
      <c r="BQ35">
        <f t="shared" si="54"/>
        <v>0.2732919254658383</v>
      </c>
      <c r="BR35">
        <f t="shared" si="54"/>
        <v>1.8196147110332754</v>
      </c>
      <c r="BS35" t="e">
        <f t="shared" si="54"/>
        <v>#DIV/0!</v>
      </c>
    </row>
    <row r="36" spans="1:73" ht="15" customHeight="1" x14ac:dyDescent="0.2">
      <c r="A36" s="20"/>
      <c r="B36" s="21"/>
      <c r="C36" s="6"/>
      <c r="D36" s="50" t="s">
        <v>353</v>
      </c>
      <c r="E36" s="14"/>
      <c r="F36" s="52"/>
      <c r="G36" s="53"/>
      <c r="H36" s="52"/>
      <c r="I36" s="52"/>
      <c r="J36" s="52"/>
      <c r="K36" s="52"/>
      <c r="L36" s="52"/>
      <c r="M36" s="52"/>
      <c r="N36" s="52"/>
      <c r="O36" s="52"/>
      <c r="P36" s="52"/>
      <c r="Q36" s="52"/>
      <c r="R36" s="52"/>
      <c r="S36" s="52"/>
      <c r="T36" s="52"/>
      <c r="U36" s="52"/>
      <c r="V36" s="52"/>
      <c r="W36" s="43"/>
      <c r="X36" s="63"/>
      <c r="Y36" s="63"/>
      <c r="Z36" s="63"/>
      <c r="AA36" s="63"/>
      <c r="AB36" s="6"/>
      <c r="AC36" s="24"/>
      <c r="AD36" s="6"/>
      <c r="AE36" s="6"/>
      <c r="AF36" s="6"/>
      <c r="AG36" s="6"/>
      <c r="AH36" s="6"/>
      <c r="AI36" s="6"/>
      <c r="AJ36" s="6"/>
      <c r="AK36" s="6"/>
      <c r="AL36" s="6"/>
      <c r="AM36" s="6"/>
      <c r="AN36" s="6"/>
      <c r="AO36" s="6"/>
      <c r="AP36" s="6"/>
      <c r="AQ36" s="6"/>
      <c r="AR36" s="6"/>
      <c r="AS36" s="6"/>
      <c r="AT36" s="6"/>
      <c r="AU36" s="6"/>
      <c r="AV36" s="6"/>
      <c r="AY36" s="64" t="s">
        <v>353</v>
      </c>
    </row>
    <row r="37" spans="1:73" x14ac:dyDescent="0.2">
      <c r="A37" s="20"/>
      <c r="B37" s="21"/>
      <c r="C37" s="6"/>
      <c r="D37" s="39" t="s">
        <v>310</v>
      </c>
      <c r="E37" s="43"/>
      <c r="F37" s="55">
        <f>VLOOKUP(AY38,'12QData'!$A$5:$W$218,2,FALSE)</f>
        <v>0.53090000000000004</v>
      </c>
      <c r="G37" s="57"/>
      <c r="H37" s="55">
        <f>VLOOKUP($D37,HData!$A$2:$AE$219,H$3,FALSE)</f>
        <v>0.65300000000000002</v>
      </c>
      <c r="I37" s="55">
        <f>VLOOKUP($D37,HData!$A$2:$AE$219,I$3,FALSE)</f>
        <v>0.45279999999999998</v>
      </c>
      <c r="J37" s="55">
        <f>VLOOKUP($D37,HData!$A$2:$AE$219,J$3,FALSE)</f>
        <v>0.1061</v>
      </c>
      <c r="K37" s="55">
        <f>VLOOKUP($D37,HData!$A$2:$AE$219,K$3,FALSE)</f>
        <v>0.22070000000000001</v>
      </c>
      <c r="L37" s="55">
        <f>VLOOKUP($D37,HData!$A$2:$AE$219,L$3,FALSE)</f>
        <v>0.15049999999999999</v>
      </c>
      <c r="M37" s="55">
        <f>VLOOKUP($D37,HData!$A$2:$AE$219,M$3,FALSE)</f>
        <v>0.1615</v>
      </c>
      <c r="N37" s="55">
        <f>VLOOKUP($D37,HData!$A$2:$AE$219,N$3,FALSE)</f>
        <v>0.3115</v>
      </c>
      <c r="O37" s="55">
        <f>VLOOKUP($D37,HData!$A$2:$AE$219,O$3,FALSE)</f>
        <v>0.27110000000000001</v>
      </c>
      <c r="P37" s="55">
        <f>VLOOKUP($D37,HData!$A$2:$AE$219,P$3,FALSE)</f>
        <v>0.16930000000000001</v>
      </c>
      <c r="Q37" s="55">
        <f>VLOOKUP($D37,HData!$A$2:$AE$219,Q$3,FALSE)</f>
        <v>8.3299999999999999E-2</v>
      </c>
      <c r="R37" s="55">
        <f>VLOOKUP($D37,HData!$A$2:$AE$219,R$3,FALSE)</f>
        <v>8.7599999999999997E-2</v>
      </c>
      <c r="S37" s="55">
        <f>VLOOKUP($D37,HData!$A$2:$AE$219,S$3,FALSE)</f>
        <v>6.0699999999999997E-2</v>
      </c>
      <c r="T37" s="55">
        <f>VLOOKUP($D37,HData!$A$2:$AE$219,T$3,FALSE)</f>
        <v>8.77E-2</v>
      </c>
      <c r="U37" s="55">
        <f>VLOOKUP($D37,HData!$A$2:$AE$219,U$3,FALSE)</f>
        <v>0.1046</v>
      </c>
      <c r="V37" s="55">
        <f>VLOOKUP($D37,HData!$A$2:$AE$219,V$3,FALSE)</f>
        <v>5.6300000000000003E-2</v>
      </c>
      <c r="W37" s="43"/>
      <c r="X37" s="58">
        <f>AVERAGE(BE37:BI37)</f>
        <v>0.71777732690217566</v>
      </c>
      <c r="Y37" s="58">
        <f>(H37-I37)/I37</f>
        <v>0.4421378091872793</v>
      </c>
      <c r="Z37" s="58">
        <f>(H37-L37)/L37</f>
        <v>3.3388704318936884</v>
      </c>
      <c r="AA37" s="58">
        <f>(H37-Q37)/Q37</f>
        <v>6.839135654261705</v>
      </c>
      <c r="AB37" s="6"/>
      <c r="AC37" s="6"/>
      <c r="AD37" s="6"/>
      <c r="AE37" s="6"/>
      <c r="AF37" s="6"/>
      <c r="AG37" s="6"/>
      <c r="AH37" s="6"/>
      <c r="AI37" s="6"/>
      <c r="AJ37" s="6"/>
      <c r="AK37" s="6"/>
      <c r="AL37" s="6"/>
      <c r="AM37" s="6"/>
      <c r="AN37" s="6"/>
      <c r="AO37" s="6"/>
      <c r="AP37" s="6"/>
      <c r="AQ37" s="6"/>
      <c r="AR37" s="6"/>
      <c r="AS37" s="6"/>
      <c r="AT37" s="6"/>
      <c r="AU37" s="6"/>
      <c r="AV37" s="6"/>
      <c r="AY37" s="3" t="s">
        <v>26</v>
      </c>
      <c r="BE37">
        <f t="shared" ref="BE37:BS41" si="57">(H37-I37)/I37</f>
        <v>0.4421378091872793</v>
      </c>
      <c r="BF37">
        <f t="shared" si="57"/>
        <v>3.2676720075400567</v>
      </c>
      <c r="BG37">
        <f t="shared" si="57"/>
        <v>-0.51925690983235162</v>
      </c>
      <c r="BH37">
        <f t="shared" si="57"/>
        <v>0.46644518272425262</v>
      </c>
      <c r="BI37">
        <f t="shared" si="57"/>
        <v>-6.8111455108359198E-2</v>
      </c>
      <c r="BJ37">
        <f t="shared" si="57"/>
        <v>-0.4815409309791332</v>
      </c>
      <c r="BK37">
        <f t="shared" si="57"/>
        <v>0.1490225009221689</v>
      </c>
      <c r="BL37">
        <f t="shared" si="57"/>
        <v>0.60129946839929116</v>
      </c>
      <c r="BM37">
        <f t="shared" si="57"/>
        <v>1.0324129651860745</v>
      </c>
      <c r="BN37">
        <f t="shared" si="57"/>
        <v>-4.9086757990867563E-2</v>
      </c>
      <c r="BO37">
        <f t="shared" si="57"/>
        <v>0.44316309719934105</v>
      </c>
      <c r="BP37">
        <f t="shared" si="57"/>
        <v>-0.30786773090079822</v>
      </c>
      <c r="BQ37">
        <f t="shared" si="57"/>
        <v>-0.16156787762906308</v>
      </c>
      <c r="BR37">
        <f t="shared" si="57"/>
        <v>0.85790408525754869</v>
      </c>
      <c r="BS37" t="e">
        <f t="shared" si="57"/>
        <v>#DIV/0!</v>
      </c>
    </row>
    <row r="38" spans="1:73" ht="15" customHeight="1" x14ac:dyDescent="0.2">
      <c r="A38" s="20"/>
      <c r="B38" s="21"/>
      <c r="C38" s="6"/>
      <c r="D38" s="39" t="s">
        <v>311</v>
      </c>
      <c r="E38" s="43"/>
      <c r="F38" s="55">
        <f>VLOOKUP(AY37,'12QData'!$A$5:$W$218,2,FALSE)</f>
        <v>1.0942000000000001</v>
      </c>
      <c r="G38" s="57"/>
      <c r="H38" s="55">
        <f>VLOOKUP($D38,HData!$A$2:$AE$219,H$3,FALSE)</f>
        <v>0.91869999999999996</v>
      </c>
      <c r="I38" s="55">
        <f>VLOOKUP($D38,HData!$A$2:$AE$219,I$3,FALSE)</f>
        <v>0.69240000000000002</v>
      </c>
      <c r="J38" s="55">
        <f>VLOOKUP($D38,HData!$A$2:$AE$219,J$3,FALSE)</f>
        <v>0.1976</v>
      </c>
      <c r="K38" s="55">
        <f>VLOOKUP($D38,HData!$A$2:$AE$219,K$3,FALSE)</f>
        <v>0.36649999999999999</v>
      </c>
      <c r="L38" s="55">
        <f>VLOOKUP($D38,HData!$A$2:$AE$219,L$3,FALSE)</f>
        <v>0.25640000000000002</v>
      </c>
      <c r="M38" s="55">
        <f>VLOOKUP($D38,HData!$A$2:$AE$219,M$3,FALSE)</f>
        <v>0.2291</v>
      </c>
      <c r="N38" s="55">
        <f>VLOOKUP($D38,HData!$A$2:$AE$219,N$3,FALSE)</f>
        <v>0.44330000000000003</v>
      </c>
      <c r="O38" s="55">
        <f>VLOOKUP($D38,HData!$A$2:$AE$219,O$3,FALSE)</f>
        <v>0.4078</v>
      </c>
      <c r="P38" s="55">
        <f>VLOOKUP($D38,HData!$A$2:$AE$219,P$3,FALSE)</f>
        <v>0.28910000000000002</v>
      </c>
      <c r="Q38" s="55">
        <f>VLOOKUP($D38,HData!$A$2:$AE$219,Q$3,FALSE)</f>
        <v>0.13739999999999999</v>
      </c>
      <c r="R38" s="55">
        <f>VLOOKUP($D38,HData!$A$2:$AE$219,R$3,FALSE)</f>
        <v>0.14280000000000001</v>
      </c>
      <c r="S38" s="55">
        <f>VLOOKUP($D38,HData!$A$2:$AE$219,S$3,FALSE)</f>
        <v>9.8699999999999996E-2</v>
      </c>
      <c r="T38" s="55">
        <f>VLOOKUP($D38,HData!$A$2:$AE$219,T$3,FALSE)</f>
        <v>0.11650000000000001</v>
      </c>
      <c r="U38" s="55">
        <f>VLOOKUP($D38,HData!$A$2:$AE$219,U$3,FALSE)</f>
        <v>0.14019999999999999</v>
      </c>
      <c r="V38" s="55">
        <f>VLOOKUP($D38,HData!$A$2:$AE$219,V$3,FALSE)</f>
        <v>7.9600000000000004E-2</v>
      </c>
      <c r="W38" s="6"/>
      <c r="X38" s="58">
        <f>AVERAGE(BE38:BI38)</f>
        <v>0.58372121163361212</v>
      </c>
      <c r="Y38" s="58">
        <f>(H38-I38)/I38</f>
        <v>0.32683419988445978</v>
      </c>
      <c r="Z38" s="58">
        <f>(H38-L38)/L38</f>
        <v>2.5830733229329166</v>
      </c>
      <c r="AA38" s="58">
        <f>(H38-Q38)/Q38</f>
        <v>5.6863173216885006</v>
      </c>
      <c r="AB38" s="6"/>
      <c r="AC38" s="24"/>
      <c r="AD38" s="6"/>
      <c r="AE38" s="6"/>
      <c r="AF38" s="6"/>
      <c r="AG38" s="6"/>
      <c r="AH38" s="6"/>
      <c r="AI38" s="6"/>
      <c r="AJ38" s="6"/>
      <c r="AK38" s="6"/>
      <c r="AL38" s="6"/>
      <c r="AM38" s="6"/>
      <c r="AN38" s="6"/>
      <c r="AO38" s="6"/>
      <c r="AP38" s="6"/>
      <c r="AQ38" s="6"/>
      <c r="AR38" s="6"/>
      <c r="AS38" s="6"/>
      <c r="AT38" s="6"/>
      <c r="AU38" s="6"/>
      <c r="AV38" s="6"/>
      <c r="AY38" s="3" t="s">
        <v>27</v>
      </c>
      <c r="BE38">
        <f t="shared" si="57"/>
        <v>0.32683419988445978</v>
      </c>
      <c r="BF38">
        <f t="shared" si="57"/>
        <v>2.5040485829959516</v>
      </c>
      <c r="BG38">
        <f t="shared" si="57"/>
        <v>-0.46084583901773535</v>
      </c>
      <c r="BH38">
        <f t="shared" si="57"/>
        <v>0.42940717628705138</v>
      </c>
      <c r="BI38">
        <f t="shared" si="57"/>
        <v>0.11916193801833269</v>
      </c>
      <c r="BJ38">
        <f t="shared" si="57"/>
        <v>-0.48319422512970905</v>
      </c>
      <c r="BK38">
        <f t="shared" si="57"/>
        <v>8.7052476704266871E-2</v>
      </c>
      <c r="BL38">
        <f t="shared" si="57"/>
        <v>0.41058457281217559</v>
      </c>
      <c r="BM38">
        <f t="shared" si="57"/>
        <v>1.1040756914119363</v>
      </c>
      <c r="BN38">
        <f t="shared" si="57"/>
        <v>-3.7815126050420277E-2</v>
      </c>
      <c r="BO38">
        <f t="shared" si="57"/>
        <v>0.44680851063829802</v>
      </c>
      <c r="BP38">
        <f t="shared" si="57"/>
        <v>-0.15278969957081553</v>
      </c>
      <c r="BQ38">
        <f t="shared" si="57"/>
        <v>-0.16904422253922957</v>
      </c>
      <c r="BR38">
        <f t="shared" si="57"/>
        <v>0.76130653266331638</v>
      </c>
      <c r="BS38" t="e">
        <f t="shared" si="57"/>
        <v>#DIV/0!</v>
      </c>
    </row>
    <row r="39" spans="1:73" ht="16" customHeight="1" x14ac:dyDescent="0.2">
      <c r="A39" s="20"/>
      <c r="B39" s="21"/>
      <c r="C39" s="6"/>
      <c r="D39" s="39" t="s">
        <v>312</v>
      </c>
      <c r="E39" s="43"/>
      <c r="F39" s="55">
        <f>VLOOKUP(AY40,'12QData'!$A$5:$W$218,2,FALSE)</f>
        <v>0.82399999999999995</v>
      </c>
      <c r="G39" s="57"/>
      <c r="H39" s="55">
        <f>VLOOKUP($D39,HData!$A$2:$AE$219,H$3,FALSE)</f>
        <v>0.87070000000000003</v>
      </c>
      <c r="I39" s="55">
        <f>VLOOKUP($D39,HData!$A$2:$AE$219,I$3,FALSE)</f>
        <v>0.59840000000000004</v>
      </c>
      <c r="J39" s="55">
        <f>VLOOKUP($D39,HData!$A$2:$AE$219,J$3,FALSE)</f>
        <v>0.122</v>
      </c>
      <c r="K39" s="55">
        <f>VLOOKUP($D39,HData!$A$2:$AE$219,K$3,FALSE)</f>
        <v>0.252</v>
      </c>
      <c r="L39" s="55">
        <f>VLOOKUP($D39,HData!$A$2:$AE$219,L$3,FALSE)</f>
        <v>0.18229999999999999</v>
      </c>
      <c r="M39" s="55">
        <f>VLOOKUP($D39,HData!$A$2:$AE$219,M$3,FALSE)</f>
        <v>0.1832</v>
      </c>
      <c r="N39" s="55">
        <f>VLOOKUP($D39,HData!$A$2:$AE$219,N$3,FALSE)</f>
        <v>0.318</v>
      </c>
      <c r="O39" s="55">
        <f>VLOOKUP($D39,HData!$A$2:$AE$219,O$3,FALSE)</f>
        <v>0.31819999999999998</v>
      </c>
      <c r="P39" s="55">
        <f>VLOOKUP($D39,HData!$A$2:$AE$219,P$3,FALSE)</f>
        <v>0.24110000000000001</v>
      </c>
      <c r="Q39" s="55">
        <f>VLOOKUP($D39,HData!$A$2:$AE$219,Q$3,FALSE)</f>
        <v>0.1515</v>
      </c>
      <c r="R39" s="55">
        <f>VLOOKUP($D39,HData!$A$2:$AE$219,R$3,FALSE)</f>
        <v>0.12039999999999999</v>
      </c>
      <c r="S39" s="55">
        <f>VLOOKUP($D39,HData!$A$2:$AE$219,S$3,FALSE)</f>
        <v>7.8700000000000006E-2</v>
      </c>
      <c r="T39" s="55">
        <f>VLOOKUP($D39,HData!$A$2:$AE$219,T$3,FALSE)</f>
        <v>0.1192</v>
      </c>
      <c r="U39" s="55">
        <f>VLOOKUP($D39,HData!$A$2:$AE$219,U$3,FALSE)</f>
        <v>0.14019999999999999</v>
      </c>
      <c r="V39" s="55">
        <f>VLOOKUP($D39,HData!$A$2:$AE$219,V$3,FALSE)</f>
        <v>7.1999999999999995E-2</v>
      </c>
      <c r="W39" s="30"/>
      <c r="X39" s="58">
        <f>AVERAGE(BE39:BI39)</f>
        <v>0.84430319041249846</v>
      </c>
      <c r="Y39" s="58">
        <f>(H39-I39)/I39</f>
        <v>0.45504679144385018</v>
      </c>
      <c r="Z39" s="58">
        <f>(H39-L39)/L39</f>
        <v>3.7761930883159631</v>
      </c>
      <c r="AA39" s="58">
        <f>(H39-Q39)/Q39</f>
        <v>4.7471947194719482</v>
      </c>
      <c r="AB39" s="6"/>
      <c r="AC39" s="24"/>
      <c r="AD39" s="6"/>
      <c r="AE39" s="6"/>
      <c r="AF39" s="6"/>
      <c r="AG39" s="6"/>
      <c r="AH39" s="6"/>
      <c r="AI39" s="6"/>
      <c r="AJ39" s="6"/>
      <c r="AK39" s="6"/>
      <c r="AL39" s="6"/>
      <c r="AM39" s="6"/>
      <c r="AN39" s="6"/>
      <c r="AO39" s="6"/>
      <c r="AP39" s="6"/>
      <c r="AQ39" s="6"/>
      <c r="AR39" s="6"/>
      <c r="AS39" s="6"/>
      <c r="AT39" s="6"/>
      <c r="AU39" s="6"/>
      <c r="AV39" s="6"/>
      <c r="AY39" s="3" t="s">
        <v>28</v>
      </c>
      <c r="BE39">
        <f t="shared" si="57"/>
        <v>0.45504679144385018</v>
      </c>
      <c r="BF39">
        <f t="shared" si="57"/>
        <v>3.9049180327868855</v>
      </c>
      <c r="BG39">
        <f t="shared" si="57"/>
        <v>-0.51587301587301593</v>
      </c>
      <c r="BH39">
        <f t="shared" si="57"/>
        <v>0.38233680746023047</v>
      </c>
      <c r="BI39">
        <f t="shared" si="57"/>
        <v>-4.9126637554585805E-3</v>
      </c>
      <c r="BJ39">
        <f t="shared" si="57"/>
        <v>-0.42389937106918241</v>
      </c>
      <c r="BK39">
        <f t="shared" si="57"/>
        <v>-6.2853551225637333E-4</v>
      </c>
      <c r="BL39">
        <f t="shared" si="57"/>
        <v>0.31978432185815003</v>
      </c>
      <c r="BM39">
        <f t="shared" si="57"/>
        <v>0.59141914191419154</v>
      </c>
      <c r="BN39">
        <f t="shared" si="57"/>
        <v>0.25830564784053162</v>
      </c>
      <c r="BO39">
        <f t="shared" si="57"/>
        <v>0.52986022871664529</v>
      </c>
      <c r="BP39">
        <f t="shared" si="57"/>
        <v>-0.33976510067114091</v>
      </c>
      <c r="BQ39">
        <f t="shared" si="57"/>
        <v>-0.14978601997146929</v>
      </c>
      <c r="BR39">
        <f t="shared" si="57"/>
        <v>0.9472222222222223</v>
      </c>
      <c r="BS39" t="e">
        <f t="shared" si="57"/>
        <v>#DIV/0!</v>
      </c>
    </row>
    <row r="40" spans="1:73" ht="17" customHeight="1" x14ac:dyDescent="0.2">
      <c r="A40" s="20"/>
      <c r="B40" s="21"/>
      <c r="C40" s="6"/>
      <c r="D40" s="39" t="s">
        <v>313</v>
      </c>
      <c r="E40" s="43"/>
      <c r="F40" s="55">
        <f>VLOOKUP(AY39,'12QData'!$A$5:$W$218,2,FALSE)</f>
        <v>0.67059999999999997</v>
      </c>
      <c r="G40" s="57"/>
      <c r="H40" s="55">
        <f>VLOOKUP($D40,HData!$A$2:$AE$219,H$3,FALSE)</f>
        <v>0.83150000000000002</v>
      </c>
      <c r="I40" s="55">
        <f>VLOOKUP($D40,HData!$A$2:$AE$219,I$3,FALSE)</f>
        <v>0.60680000000000001</v>
      </c>
      <c r="J40" s="55">
        <f>VLOOKUP($D40,HData!$A$2:$AE$219,J$3,FALSE)</f>
        <v>0.14130000000000001</v>
      </c>
      <c r="K40" s="55">
        <f>VLOOKUP($D40,HData!$A$2:$AE$219,K$3,FALSE)</f>
        <v>0.26019999999999999</v>
      </c>
      <c r="L40" s="55">
        <f>VLOOKUP($D40,HData!$A$2:$AE$219,L$3,FALSE)</f>
        <v>0.18540000000000001</v>
      </c>
      <c r="M40" s="55">
        <f>VLOOKUP($D40,HData!$A$2:$AE$219,M$3,FALSE)</f>
        <v>0.57809999999999995</v>
      </c>
      <c r="N40" s="55">
        <f>VLOOKUP($D40,HData!$A$2:$AE$219,N$3,FALSE)</f>
        <v>0.36159999999999998</v>
      </c>
      <c r="O40" s="55">
        <f>VLOOKUP($D40,HData!$A$2:$AE$219,O$3,FALSE)</f>
        <v>0.50290000000000001</v>
      </c>
      <c r="P40" s="55">
        <f>VLOOKUP($D40,HData!$A$2:$AE$219,P$3,FALSE)</f>
        <v>0.27039999999999997</v>
      </c>
      <c r="Q40" s="55">
        <f>VLOOKUP($D40,HData!$A$2:$AE$219,Q$3,FALSE)</f>
        <v>0.1424</v>
      </c>
      <c r="R40" s="55">
        <f>VLOOKUP($D40,HData!$A$2:$AE$219,R$3,FALSE)</f>
        <v>0.10920000000000001</v>
      </c>
      <c r="S40" s="55">
        <f>VLOOKUP($D40,HData!$A$2:$AE$219,S$3,FALSE)</f>
        <v>8.3000000000000004E-2</v>
      </c>
      <c r="T40" s="55">
        <f>VLOOKUP($D40,HData!$A$2:$AE$219,T$3,FALSE)</f>
        <v>0.1171</v>
      </c>
      <c r="U40" s="55">
        <f>VLOOKUP($D40,HData!$A$2:$AE$219,U$3,FALSE)</f>
        <v>0.14360000000000001</v>
      </c>
      <c r="V40" s="55">
        <f>VLOOKUP($D40,HData!$A$2:$AE$219,V$3,FALSE)</f>
        <v>8.2699999999999996E-2</v>
      </c>
      <c r="W40" s="30"/>
      <c r="X40" s="58">
        <f>AVERAGE(BE40:BI40)</f>
        <v>0.58638277143713069</v>
      </c>
      <c r="Y40" s="58">
        <f>(H40-I40)/I40</f>
        <v>0.37030323005932764</v>
      </c>
      <c r="Z40" s="58">
        <f>(H40-L40)/L40</f>
        <v>3.4848975188781011</v>
      </c>
      <c r="AA40" s="58">
        <f>(H40-Q40)/Q40</f>
        <v>4.8391853932584272</v>
      </c>
      <c r="AB40" s="6"/>
      <c r="AC40" s="24"/>
      <c r="AD40" s="6"/>
      <c r="AE40" s="80"/>
      <c r="AF40" s="80"/>
      <c r="AG40" s="80"/>
      <c r="AH40" s="80"/>
      <c r="AI40" s="80"/>
      <c r="AJ40" s="80"/>
      <c r="AK40" s="80"/>
      <c r="AL40" s="80"/>
      <c r="AM40" s="80"/>
      <c r="AN40" s="80"/>
      <c r="AO40" s="6"/>
      <c r="AP40" s="6"/>
      <c r="AQ40" s="6"/>
      <c r="AR40" s="6"/>
      <c r="AS40" s="6"/>
      <c r="AT40" s="6"/>
      <c r="AU40" s="6"/>
      <c r="AV40" s="6"/>
      <c r="AY40" s="3" t="s">
        <v>29</v>
      </c>
      <c r="BE40">
        <f t="shared" si="57"/>
        <v>0.37030323005932764</v>
      </c>
      <c r="BF40">
        <f t="shared" si="57"/>
        <v>3.294409058740269</v>
      </c>
      <c r="BG40">
        <f t="shared" si="57"/>
        <v>-0.4569561875480399</v>
      </c>
      <c r="BH40">
        <f t="shared" si="57"/>
        <v>0.40345199568500523</v>
      </c>
      <c r="BI40">
        <f t="shared" si="57"/>
        <v>-0.67929423975090808</v>
      </c>
      <c r="BJ40">
        <f t="shared" si="57"/>
        <v>0.5987278761061946</v>
      </c>
      <c r="BK40">
        <f t="shared" si="57"/>
        <v>-0.28097037184330886</v>
      </c>
      <c r="BL40">
        <f t="shared" si="57"/>
        <v>0.85983727810650912</v>
      </c>
      <c r="BM40">
        <f t="shared" si="57"/>
        <v>0.89887640449438189</v>
      </c>
      <c r="BN40">
        <f t="shared" si="57"/>
        <v>0.30402930402930395</v>
      </c>
      <c r="BO40">
        <f t="shared" si="57"/>
        <v>0.31566265060240961</v>
      </c>
      <c r="BP40">
        <f t="shared" si="57"/>
        <v>-0.29120409906063188</v>
      </c>
      <c r="BQ40">
        <f t="shared" si="57"/>
        <v>-0.18454038997214492</v>
      </c>
      <c r="BR40">
        <f t="shared" si="57"/>
        <v>0.73639661426844027</v>
      </c>
      <c r="BS40" t="e">
        <f t="shared" si="57"/>
        <v>#DIV/0!</v>
      </c>
    </row>
    <row r="41" spans="1:73" ht="14" customHeight="1" x14ac:dyDescent="0.2">
      <c r="A41" s="6"/>
      <c r="B41" s="6"/>
      <c r="C41" s="6"/>
      <c r="D41" s="39" t="s">
        <v>319</v>
      </c>
      <c r="E41" s="43"/>
      <c r="F41" s="55">
        <f>VLOOKUP(AY41,'12QData'!$A$5:$W$218,2,FALSE)</f>
        <v>1.46</v>
      </c>
      <c r="G41" s="57"/>
      <c r="H41" s="55">
        <f>VLOOKUP($D41,HData!$A$2:$AE$219,H$3,FALSE)</f>
        <v>1.17</v>
      </c>
      <c r="I41" s="55">
        <f>VLOOKUP($D41,HData!$A$2:$AE$219,I$3,FALSE)</f>
        <v>0.92700000000000005</v>
      </c>
      <c r="J41" s="55">
        <f>VLOOKUP($D41,HData!$A$2:$AE$219,J$3,FALSE)</f>
        <v>0.65500000000000003</v>
      </c>
      <c r="K41" s="55">
        <f>VLOOKUP($D41,HData!$A$2:$AE$219,K$3,FALSE)</f>
        <v>0.60899999999999999</v>
      </c>
      <c r="L41" s="55">
        <f>VLOOKUP($D41,HData!$A$2:$AE$219,L$3,FALSE)</f>
        <v>0.57899999999999996</v>
      </c>
      <c r="M41" s="55">
        <f>VLOOKUP($D41,HData!$A$2:$AE$219,M$3,FALSE)</f>
        <v>0.63100000000000001</v>
      </c>
      <c r="N41" s="55">
        <f>VLOOKUP($D41,HData!$A$2:$AE$219,N$3,FALSE)</f>
        <v>0.88100000000000001</v>
      </c>
      <c r="O41" s="55">
        <f>VLOOKUP($D41,HData!$A$2:$AE$219,O$3,FALSE)</f>
        <v>0.86399999999999999</v>
      </c>
      <c r="P41" s="55">
        <f>VLOOKUP($D41,HData!$A$2:$AE$219,P$3,FALSE)</f>
        <v>0.70199999999999996</v>
      </c>
      <c r="Q41" s="55">
        <f>VLOOKUP($D41,HData!$A$2:$AE$219,Q$3,FALSE)</f>
        <v>0.68</v>
      </c>
      <c r="R41" s="55">
        <f>VLOOKUP($D41,HData!$A$2:$AE$219,R$3,FALSE)</f>
        <v>0.65</v>
      </c>
      <c r="S41" s="55">
        <f>VLOOKUP($D41,HData!$A$2:$AE$219,S$3,FALSE)</f>
        <v>0.56999999999999995</v>
      </c>
      <c r="T41" s="55">
        <f>VLOOKUP($D41,HData!$A$2:$AE$219,T$3,FALSE)</f>
        <v>0.66700000000000004</v>
      </c>
      <c r="U41" s="55">
        <f>VLOOKUP($D41,HData!$A$2:$AE$219,U$3,FALSE)</f>
        <v>0.72</v>
      </c>
      <c r="V41" s="55">
        <f>VLOOKUP($D41,HData!$A$2:$AE$219,V$3,FALSE)</f>
        <v>0.78800000000000003</v>
      </c>
      <c r="W41" s="30"/>
      <c r="X41" s="58">
        <f>AVERAGE(BE41:BI41)</f>
        <v>0.14446827126877265</v>
      </c>
      <c r="Y41" s="58">
        <f>(H41-I41)/I41</f>
        <v>0.26213592233009697</v>
      </c>
      <c r="Z41" s="58">
        <f>(H41-L41)/L41</f>
        <v>1.0207253886010363</v>
      </c>
      <c r="AA41" s="58">
        <f>(H41-Q41)/Q41</f>
        <v>0.72058823529411742</v>
      </c>
      <c r="AB41" s="6"/>
      <c r="AC41" s="24"/>
      <c r="AD41" s="6"/>
      <c r="AE41" s="6"/>
      <c r="AF41" s="6"/>
      <c r="AG41" s="6"/>
      <c r="AH41" s="6"/>
      <c r="AI41" s="6"/>
      <c r="AJ41" s="6"/>
      <c r="AK41" s="6"/>
      <c r="AL41" s="6"/>
      <c r="AM41" s="6"/>
      <c r="AN41" s="6"/>
      <c r="AO41" s="6"/>
      <c r="AP41" s="6"/>
      <c r="AQ41" s="6"/>
      <c r="AR41" s="6"/>
      <c r="AS41" s="6"/>
      <c r="AT41" s="6"/>
      <c r="AU41" s="6"/>
      <c r="AV41" s="6"/>
      <c r="AY41" s="65" t="s">
        <v>173</v>
      </c>
      <c r="BE41">
        <f t="shared" si="57"/>
        <v>0.26213592233009697</v>
      </c>
      <c r="BF41">
        <f t="shared" si="57"/>
        <v>0.41526717557251908</v>
      </c>
      <c r="BG41">
        <f t="shared" si="57"/>
        <v>7.5533661740558367E-2</v>
      </c>
      <c r="BH41">
        <f t="shared" si="57"/>
        <v>5.1813471502590726E-2</v>
      </c>
      <c r="BI41">
        <f t="shared" si="57"/>
        <v>-8.2408874801901816E-2</v>
      </c>
      <c r="BJ41">
        <f t="shared" si="57"/>
        <v>-0.28376844494892167</v>
      </c>
      <c r="BK41">
        <f t="shared" si="57"/>
        <v>1.9675925925925944E-2</v>
      </c>
      <c r="BL41">
        <f t="shared" si="57"/>
        <v>0.23076923076923084</v>
      </c>
      <c r="BM41">
        <f t="shared" si="57"/>
        <v>3.2352941176470452E-2</v>
      </c>
      <c r="BN41">
        <f t="shared" si="57"/>
        <v>4.6153846153846191E-2</v>
      </c>
      <c r="BO41">
        <f t="shared" si="57"/>
        <v>0.14035087719298259</v>
      </c>
      <c r="BP41">
        <f t="shared" si="57"/>
        <v>-0.1454272863568217</v>
      </c>
      <c r="BQ41">
        <f t="shared" si="57"/>
        <v>-7.361111111111103E-2</v>
      </c>
      <c r="BR41">
        <f t="shared" si="57"/>
        <v>-8.6294416243654901E-2</v>
      </c>
      <c r="BS41" t="e">
        <f t="shared" si="57"/>
        <v>#DIV/0!</v>
      </c>
    </row>
    <row r="42" spans="1:73" ht="15" customHeight="1" x14ac:dyDescent="0.2">
      <c r="A42" s="6"/>
      <c r="B42" s="6"/>
      <c r="C42" s="6"/>
      <c r="D42" s="50" t="s">
        <v>354</v>
      </c>
      <c r="E42" s="14"/>
      <c r="F42" s="56"/>
      <c r="G42" s="53"/>
      <c r="H42" s="52"/>
      <c r="I42" s="52"/>
      <c r="J42" s="52"/>
      <c r="K42" s="52"/>
      <c r="L42" s="52"/>
      <c r="M42" s="52"/>
      <c r="N42" s="52"/>
      <c r="O42" s="52"/>
      <c r="P42" s="52"/>
      <c r="Q42" s="52"/>
      <c r="R42" s="52"/>
      <c r="S42" s="52"/>
      <c r="T42" s="52"/>
      <c r="U42" s="52"/>
      <c r="V42" s="52"/>
      <c r="W42" s="30"/>
      <c r="X42" s="63"/>
      <c r="Y42" s="63"/>
      <c r="Z42" s="63"/>
      <c r="AA42" s="63"/>
      <c r="AB42" s="6"/>
      <c r="AC42" s="24"/>
      <c r="AD42" s="6"/>
      <c r="AE42" s="6"/>
      <c r="AF42" s="6"/>
      <c r="AG42" s="6"/>
      <c r="AH42" s="6"/>
      <c r="AI42" s="6"/>
      <c r="AJ42" s="6"/>
      <c r="AK42" s="6"/>
      <c r="AL42" s="6"/>
      <c r="AM42" s="6"/>
      <c r="AN42" s="6"/>
      <c r="AO42" s="6"/>
      <c r="AP42" s="6"/>
      <c r="AQ42" s="6"/>
      <c r="AR42" s="6"/>
      <c r="AS42" s="6"/>
      <c r="AT42" s="6"/>
      <c r="AU42" s="6"/>
      <c r="AV42" s="6"/>
      <c r="AY42" s="64" t="s">
        <v>354</v>
      </c>
    </row>
    <row r="43" spans="1:73" x14ac:dyDescent="0.2">
      <c r="A43" s="20"/>
      <c r="B43" s="21"/>
      <c r="C43" s="6"/>
      <c r="D43" s="39" t="s">
        <v>65</v>
      </c>
      <c r="E43" s="43"/>
      <c r="F43" s="48">
        <f>VLOOKUP(AY43,'12QData'!$A$5:$W$218,2,FALSE)</f>
        <v>4.21</v>
      </c>
      <c r="G43" s="53"/>
      <c r="H43" s="48">
        <f>VLOOKUP($D43,HData!$A$2:$AE$219,H$3,FALSE)</f>
        <v>4.4400000000000004</v>
      </c>
      <c r="I43" s="48">
        <f>VLOOKUP($D43,HData!$A$2:$AE$219,I$3,FALSE)</f>
        <v>4.17</v>
      </c>
      <c r="J43" s="48">
        <f>VLOOKUP($D43,HData!$A$2:$AE$219,J$3,FALSE)</f>
        <v>3.52</v>
      </c>
      <c r="K43" s="48">
        <f>VLOOKUP($D43,HData!$A$2:$AE$219,K$3,FALSE)</f>
        <v>6.65</v>
      </c>
      <c r="L43" s="48">
        <f>VLOOKUP($D43,HData!$A$2:$AE$219,L$3,FALSE)</f>
        <v>4.09</v>
      </c>
      <c r="M43" s="48">
        <f>VLOOKUP($D43,HData!$A$2:$AE$219,M$3,FALSE)</f>
        <v>7.67</v>
      </c>
      <c r="N43" s="48">
        <f>VLOOKUP($D43,HData!$A$2:$AE$219,N$3,FALSE)</f>
        <v>7.94</v>
      </c>
      <c r="O43" s="48">
        <f>VLOOKUP($D43,HData!$A$2:$AE$219,O$3,FALSE)</f>
        <v>8.0299999999999994</v>
      </c>
      <c r="P43" s="48">
        <f>VLOOKUP($D43,HData!$A$2:$AE$219,P$3,FALSE)</f>
        <v>4.6900000000000004</v>
      </c>
      <c r="Q43" s="48">
        <f>VLOOKUP($D43,HData!$A$2:$AE$219,Q$3,FALSE)</f>
        <v>2.48</v>
      </c>
      <c r="R43" s="48">
        <f>VLOOKUP($D43,HData!$A$2:$AE$219,R$3,FALSE)</f>
        <v>6.38</v>
      </c>
      <c r="S43" s="48">
        <f>VLOOKUP($D43,HData!$A$2:$AE$219,S$3,FALSE)</f>
        <v>5.95</v>
      </c>
      <c r="T43" s="48">
        <f>VLOOKUP($D43,HData!$A$2:$AE$219,T$3,FALSE)</f>
        <v>4.8899999999999997</v>
      </c>
      <c r="U43" s="48">
        <f>VLOOKUP($D43,HData!$A$2:$AE$219,U$3,FALSE)</f>
        <v>4.2</v>
      </c>
      <c r="V43" s="48">
        <f>VLOOKUP($D43,HData!$A$2:$AE$219,V$3,FALSE)</f>
        <v>3.42</v>
      </c>
      <c r="W43" s="30"/>
      <c r="X43" s="58">
        <f t="shared" ref="X43:X51" si="58">AVERAGE(BE43:BI43)</f>
        <v>-1.2421222872677728E-2</v>
      </c>
      <c r="Y43" s="58">
        <f t="shared" ref="Y43:Y51" si="59">(H43-I43)/I43</f>
        <v>6.4748201438849032E-2</v>
      </c>
      <c r="Z43" s="58">
        <f t="shared" ref="Z43:Z51" si="60">(H43-L43)/L43</f>
        <v>8.5574572127139495E-2</v>
      </c>
      <c r="AA43" s="58">
        <f t="shared" ref="AA43:AA51" si="61">(H43-Q43)/Q43</f>
        <v>0.79032258064516148</v>
      </c>
      <c r="AB43" s="6"/>
      <c r="AC43" s="6"/>
      <c r="AD43" s="6"/>
      <c r="AE43" s="6"/>
      <c r="AF43" s="6"/>
      <c r="AG43" s="6"/>
      <c r="AH43" s="6"/>
      <c r="AI43" s="6"/>
      <c r="AJ43" s="6"/>
      <c r="AK43" s="6"/>
      <c r="AL43" s="6"/>
      <c r="AM43" s="6"/>
      <c r="AN43" s="6"/>
      <c r="AO43" s="6"/>
      <c r="AP43" s="6"/>
      <c r="AQ43" s="6"/>
      <c r="AR43" s="6"/>
      <c r="AS43" s="6"/>
      <c r="AT43" s="6"/>
      <c r="AU43" s="6"/>
      <c r="AV43" s="6"/>
      <c r="AY43" s="3" t="s">
        <v>5</v>
      </c>
      <c r="BE43">
        <f t="shared" ref="BE43:BE51" si="62">(H43-I43)/I43</f>
        <v>6.4748201438849032E-2</v>
      </c>
      <c r="BF43">
        <f t="shared" ref="BF43:BF51" si="63">(I43-J43)/J43</f>
        <v>0.18465909090909088</v>
      </c>
      <c r="BG43">
        <f t="shared" ref="BG43:BG51" si="64">(J43-K43)/K43</f>
        <v>-0.47067669172932336</v>
      </c>
      <c r="BH43">
        <f t="shared" ref="BH43:BH51" si="65">(K43-L43)/L43</f>
        <v>0.62591687041564803</v>
      </c>
      <c r="BI43">
        <f t="shared" ref="BI43:BI51" si="66">(L43-M43)/M43</f>
        <v>-0.46675358539765321</v>
      </c>
      <c r="BJ43">
        <f t="shared" ref="BJ43:BJ51" si="67">(M43-N43)/N43</f>
        <v>-3.4005037783375373E-2</v>
      </c>
      <c r="BK43">
        <f t="shared" ref="BK43:BK51" si="68">(N43-O43)/O43</f>
        <v>-1.1207970112079574E-2</v>
      </c>
      <c r="BL43">
        <f t="shared" ref="BL43:BL51" si="69">(O43-P43)/P43</f>
        <v>0.71215351812366712</v>
      </c>
      <c r="BM43">
        <f t="shared" ref="BM43:BM51" si="70">(P43-Q43)/Q43</f>
        <v>0.89112903225806472</v>
      </c>
      <c r="BN43">
        <f t="shared" ref="BN43:BN51" si="71">(Q43-R43)/R43</f>
        <v>-0.61128526645768022</v>
      </c>
      <c r="BO43">
        <f t="shared" ref="BO43:BO51" si="72">(R43-S43)/S43</f>
        <v>7.2268907563025162E-2</v>
      </c>
      <c r="BP43">
        <f t="shared" ref="BP43:BP51" si="73">(S43-T43)/T43</f>
        <v>0.21676891615541935</v>
      </c>
      <c r="BQ43">
        <f t="shared" ref="BQ43:BQ51" si="74">(T43-U43)/U43</f>
        <v>0.16428571428571417</v>
      </c>
      <c r="BR43">
        <f t="shared" ref="BR43:BR51" si="75">(U43-V43)/V43</f>
        <v>0.22807017543859656</v>
      </c>
      <c r="BS43" t="e">
        <f t="shared" ref="BS43:BS51" si="76">(V43-W43)/W43</f>
        <v>#DIV/0!</v>
      </c>
    </row>
    <row r="44" spans="1:73" x14ac:dyDescent="0.2">
      <c r="A44" s="20"/>
      <c r="B44" s="24"/>
      <c r="C44" s="6"/>
      <c r="D44" s="39" t="s">
        <v>66</v>
      </c>
      <c r="E44" s="43"/>
      <c r="F44" s="48">
        <f>VLOOKUP(AY44,'12QData'!$A$5:$W$218,2,FALSE)</f>
        <v>3.49</v>
      </c>
      <c r="G44" s="52"/>
      <c r="H44" s="48">
        <f>VLOOKUP($D44,HData!$A$2:$AE$219,H$3,FALSE)</f>
        <v>3.88</v>
      </c>
      <c r="I44" s="48">
        <f>VLOOKUP($D44,HData!$A$2:$AE$219,I$3,FALSE)</f>
        <v>3.67</v>
      </c>
      <c r="J44" s="48">
        <f>VLOOKUP($D44,HData!$A$2:$AE$219,J$3,FALSE)</f>
        <v>2.73</v>
      </c>
      <c r="K44" s="48">
        <f>VLOOKUP($D44,HData!$A$2:$AE$219,K$3,FALSE)</f>
        <v>6.05</v>
      </c>
      <c r="L44" s="48">
        <f>VLOOKUP($D44,HData!$A$2:$AE$219,L$3,FALSE)</f>
        <v>3.63</v>
      </c>
      <c r="M44" s="48">
        <f>VLOOKUP($D44,HData!$A$2:$AE$219,M$3,FALSE)</f>
        <v>7.12</v>
      </c>
      <c r="N44" s="48">
        <f>VLOOKUP($D44,HData!$A$2:$AE$219,N$3,FALSE)</f>
        <v>6.76</v>
      </c>
      <c r="O44" s="48">
        <f>VLOOKUP($D44,HData!$A$2:$AE$219,O$3,FALSE)</f>
        <v>7.34</v>
      </c>
      <c r="P44" s="48">
        <f>VLOOKUP($D44,HData!$A$2:$AE$219,P$3,FALSE)</f>
        <v>4.26</v>
      </c>
      <c r="Q44" s="48">
        <f>VLOOKUP($D44,HData!$A$2:$AE$219,Q$3,FALSE)</f>
        <v>2.31</v>
      </c>
      <c r="R44" s="48">
        <f>VLOOKUP($D44,HData!$A$2:$AE$219,R$3,FALSE)</f>
        <v>5.84</v>
      </c>
      <c r="S44" s="48">
        <f>VLOOKUP($D44,HData!$A$2:$AE$219,S$3,FALSE)</f>
        <v>5.54</v>
      </c>
      <c r="T44" s="48">
        <f>VLOOKUP($D44,HData!$A$2:$AE$219,T$3,FALSE)</f>
        <v>4.47</v>
      </c>
      <c r="U44" s="48">
        <f>VLOOKUP($D44,HData!$A$2:$AE$219,U$3,FALSE)</f>
        <v>3.83</v>
      </c>
      <c r="V44" s="48">
        <f>VLOOKUP($D44,HData!$A$2:$AE$219,V$3,FALSE)</f>
        <v>3.06</v>
      </c>
      <c r="W44" s="30"/>
      <c r="X44" s="58">
        <f t="shared" si="58"/>
        <v>5.8561699063044651E-3</v>
      </c>
      <c r="Y44" s="58">
        <f t="shared" si="59"/>
        <v>5.7220708446866476E-2</v>
      </c>
      <c r="Z44" s="58">
        <f t="shared" si="60"/>
        <v>6.8870523415977963E-2</v>
      </c>
      <c r="AA44" s="58">
        <f t="shared" si="61"/>
        <v>0.67965367965367962</v>
      </c>
      <c r="AB44" s="6"/>
      <c r="AC44" s="6"/>
      <c r="AD44" s="6"/>
      <c r="AE44" s="6"/>
      <c r="AF44" s="6"/>
      <c r="AG44" s="6"/>
      <c r="AH44" s="6"/>
      <c r="AI44" s="6"/>
      <c r="AJ44" s="6"/>
      <c r="AK44" s="6"/>
      <c r="AL44" s="6"/>
      <c r="AM44" s="6"/>
      <c r="AN44" s="6"/>
      <c r="AO44" s="6"/>
      <c r="AP44" s="6"/>
      <c r="AQ44" s="6"/>
      <c r="AR44" s="6"/>
      <c r="AS44" s="6"/>
      <c r="AT44" s="6"/>
      <c r="AU44" s="6"/>
      <c r="AV44" s="6"/>
      <c r="AY44" s="3" t="s">
        <v>8</v>
      </c>
      <c r="BE44">
        <f t="shared" si="62"/>
        <v>5.7220708446866476E-2</v>
      </c>
      <c r="BF44">
        <f t="shared" si="63"/>
        <v>0.34432234432234432</v>
      </c>
      <c r="BG44">
        <f t="shared" si="64"/>
        <v>-0.54876033057851237</v>
      </c>
      <c r="BH44">
        <f t="shared" si="65"/>
        <v>0.66666666666666663</v>
      </c>
      <c r="BI44">
        <f t="shared" si="66"/>
        <v>-0.4901685393258427</v>
      </c>
      <c r="BJ44">
        <f t="shared" si="67"/>
        <v>5.3254437869822535E-2</v>
      </c>
      <c r="BK44">
        <f t="shared" si="68"/>
        <v>-7.9019073569482304E-2</v>
      </c>
      <c r="BL44">
        <f t="shared" si="69"/>
        <v>0.72300469483568075</v>
      </c>
      <c r="BM44">
        <f t="shared" si="70"/>
        <v>0.84415584415584399</v>
      </c>
      <c r="BN44">
        <f t="shared" si="71"/>
        <v>-0.60445205479452058</v>
      </c>
      <c r="BO44">
        <f t="shared" si="72"/>
        <v>5.4151624548736427E-2</v>
      </c>
      <c r="BP44">
        <f t="shared" si="73"/>
        <v>0.23937360178970926</v>
      </c>
      <c r="BQ44">
        <f t="shared" si="74"/>
        <v>0.16710182767624013</v>
      </c>
      <c r="BR44">
        <f t="shared" si="75"/>
        <v>0.25163398692810457</v>
      </c>
      <c r="BS44" t="e">
        <f t="shared" si="76"/>
        <v>#DIV/0!</v>
      </c>
    </row>
    <row r="45" spans="1:73" x14ac:dyDescent="0.2">
      <c r="A45" s="20"/>
      <c r="B45" s="24"/>
      <c r="C45" s="6"/>
      <c r="D45" s="39" t="s">
        <v>295</v>
      </c>
      <c r="E45" s="43"/>
      <c r="F45" s="48">
        <f>(F18)/VLOOKUP('12QData'!A83,'12QData'!$A$5:$W$218,2,FALSE)</f>
        <v>1.3747932908103</v>
      </c>
      <c r="G45" s="52"/>
      <c r="H45" s="48">
        <f>VLOOKUP($D45,HData!$A$2:$AE$219,H$3,FALSE)</f>
        <v>0.47599999999999998</v>
      </c>
      <c r="I45" s="48">
        <f>VLOOKUP($D45,HData!$A$2:$AE$219,I$3,FALSE)</f>
        <v>0.68500000000000005</v>
      </c>
      <c r="J45" s="48">
        <f>VLOOKUP($D45,HData!$A$2:$AE$219,J$3,FALSE)</f>
        <v>0.51600000000000001</v>
      </c>
      <c r="K45" s="48">
        <f>VLOOKUP($D45,HData!$A$2:$AE$219,K$3,FALSE)</f>
        <v>0.45900000000000002</v>
      </c>
      <c r="L45" s="48">
        <f>VLOOKUP($D45,HData!$A$2:$AE$219,L$3,FALSE)</f>
        <v>0.216</v>
      </c>
      <c r="M45" s="48">
        <f>VLOOKUP($D45,HData!$A$2:$AE$219,M$3,FALSE)</f>
        <v>6.11</v>
      </c>
      <c r="N45" s="48">
        <f>VLOOKUP($D45,HData!$A$2:$AE$219,N$3,FALSE)</f>
        <v>0.58799999999999997</v>
      </c>
      <c r="O45" s="48">
        <f>VLOOKUP($D45,HData!$A$2:$AE$219,O$3,FALSE)</f>
        <v>3.47</v>
      </c>
      <c r="P45" s="48">
        <f>VLOOKUP($D45,HData!$A$2:$AE$219,P$3,FALSE)</f>
        <v>0.97099999999999997</v>
      </c>
      <c r="Q45" s="48">
        <f>VLOOKUP($D45,HData!$A$2:$AE$219,Q$3,FALSE)</f>
        <v>0.24399999999999999</v>
      </c>
      <c r="R45" s="48">
        <f>VLOOKUP($D45,HData!$A$2:$AE$219,R$3,FALSE)</f>
        <v>0.55500000000000005</v>
      </c>
      <c r="S45" s="48">
        <f>VLOOKUP($D45,HData!$A$2:$AE$219,S$3,FALSE)</f>
        <v>1.22</v>
      </c>
      <c r="T45" s="48">
        <f>VLOOKUP($D45,HData!$A$2:$AE$219,T$3,FALSE)</f>
        <v>0.751</v>
      </c>
      <c r="U45" s="48">
        <f>VLOOKUP($D45,HData!$A$2:$AE$219,U$3,FALSE)</f>
        <v>0.71799999999999997</v>
      </c>
      <c r="V45" s="48">
        <f>VLOOKUP($D45,HData!$A$2:$AE$219,V$3,FALSE)</f>
        <v>0.70599999999999996</v>
      </c>
      <c r="W45" s="6"/>
      <c r="X45" s="58">
        <f t="shared" si="58"/>
        <v>6.1388955898041428E-2</v>
      </c>
      <c r="Y45" s="58">
        <f t="shared" si="59"/>
        <v>-0.30510948905109497</v>
      </c>
      <c r="Z45" s="58">
        <f t="shared" si="60"/>
        <v>1.2037037037037037</v>
      </c>
      <c r="AA45" s="58">
        <f t="shared" si="61"/>
        <v>0.95081967213114749</v>
      </c>
      <c r="AB45" s="6"/>
      <c r="AC45" s="6"/>
      <c r="AD45" s="6"/>
      <c r="AE45" s="6"/>
      <c r="AF45" s="6"/>
      <c r="AG45" s="6"/>
      <c r="AH45" s="6"/>
      <c r="AI45" s="6"/>
      <c r="AJ45" s="6"/>
      <c r="AK45" s="6"/>
      <c r="AL45" s="6"/>
      <c r="AM45" s="6"/>
      <c r="AN45" s="6"/>
      <c r="AO45" s="6"/>
      <c r="AP45" s="6"/>
      <c r="AQ45" s="6"/>
      <c r="AR45" s="6"/>
      <c r="AS45" s="6"/>
      <c r="AT45" s="6"/>
      <c r="AU45" s="6"/>
      <c r="AV45" s="6"/>
      <c r="AY45" s="65" t="s">
        <v>295</v>
      </c>
      <c r="BE45">
        <f t="shared" si="62"/>
        <v>-0.30510948905109497</v>
      </c>
      <c r="BF45">
        <f t="shared" si="63"/>
        <v>0.32751937984496132</v>
      </c>
      <c r="BG45">
        <f t="shared" si="64"/>
        <v>0.1241830065359477</v>
      </c>
      <c r="BH45">
        <f t="shared" si="65"/>
        <v>1.1250000000000002</v>
      </c>
      <c r="BI45">
        <f t="shared" si="66"/>
        <v>-0.96464811783960713</v>
      </c>
      <c r="BJ45">
        <f t="shared" si="67"/>
        <v>9.3911564625850357</v>
      </c>
      <c r="BK45">
        <f t="shared" si="68"/>
        <v>-0.83054755043227668</v>
      </c>
      <c r="BL45">
        <f t="shared" si="69"/>
        <v>2.5736354273944388</v>
      </c>
      <c r="BM45">
        <f t="shared" si="70"/>
        <v>2.9795081967213113</v>
      </c>
      <c r="BN45">
        <f t="shared" si="71"/>
        <v>-0.56036036036036041</v>
      </c>
      <c r="BO45">
        <f t="shared" si="72"/>
        <v>-0.54508196721311475</v>
      </c>
      <c r="BP45">
        <f t="shared" si="73"/>
        <v>0.62450066577896135</v>
      </c>
      <c r="BQ45">
        <f t="shared" si="74"/>
        <v>4.5961002785515362E-2</v>
      </c>
      <c r="BR45">
        <f t="shared" si="75"/>
        <v>1.6997167138810214E-2</v>
      </c>
      <c r="BS45" t="e">
        <f t="shared" si="76"/>
        <v>#DIV/0!</v>
      </c>
    </row>
    <row r="46" spans="1:73" x14ac:dyDescent="0.2">
      <c r="A46" s="6"/>
      <c r="B46" s="21"/>
      <c r="C46" s="6"/>
      <c r="D46" s="39" t="s">
        <v>296</v>
      </c>
      <c r="E46" s="43"/>
      <c r="F46" s="48">
        <f>(VLOOKUP(BC58,'12QData'!$A$5:$W$218,2,FALSE))/F22</f>
        <v>2.2888280807699566</v>
      </c>
      <c r="G46" s="52"/>
      <c r="H46" s="48">
        <f>VLOOKUP($D46,HData!$A$2:$AE$219,H$3,FALSE)</f>
        <v>9.1999999999999998E-2</v>
      </c>
      <c r="I46" s="48">
        <f>VLOOKUP($D46,HData!$A$2:$AE$219,I$3,FALSE)</f>
        <v>0.16800000000000001</v>
      </c>
      <c r="J46" s="48">
        <f>VLOOKUP($D46,HData!$A$2:$AE$219,J$3,FALSE)</f>
        <v>0.29199999999999998</v>
      </c>
      <c r="K46" s="48">
        <f>VLOOKUP($D46,HData!$A$2:$AE$219,K$3,FALSE)</f>
        <v>0.26800000000000002</v>
      </c>
      <c r="L46" s="48">
        <f>VLOOKUP($D46,HData!$A$2:$AE$219,L$3,FALSE)</f>
        <v>0.26800000000000002</v>
      </c>
      <c r="M46" s="48">
        <f>VLOOKUP($D46,HData!$A$2:$AE$219,M$3,FALSE)</f>
        <v>0.153</v>
      </c>
      <c r="N46" s="48">
        <f>VLOOKUP($D46,HData!$A$2:$AE$219,N$3,FALSE)</f>
        <v>0.15</v>
      </c>
      <c r="O46" s="48">
        <f>VLOOKUP($D46,HData!$A$2:$AE$219,O$3,FALSE)</f>
        <v>0.17799999999999999</v>
      </c>
      <c r="P46" s="48">
        <f>VLOOKUP($D46,HData!$A$2:$AE$219,P$3,FALSE)</f>
        <v>0.28599999999999998</v>
      </c>
      <c r="Q46" s="48">
        <f>VLOOKUP($D46,HData!$A$2:$AE$219,Q$3,FALSE)</f>
        <v>0.20499999999999999</v>
      </c>
      <c r="R46" s="48">
        <f>VLOOKUP($D46,HData!$A$2:$AE$219,R$3,FALSE)</f>
        <v>0.19400000000000001</v>
      </c>
      <c r="S46" s="48">
        <f>VLOOKUP($D46,HData!$A$2:$AE$219,S$3,FALSE)</f>
        <v>0.189</v>
      </c>
      <c r="T46" s="48">
        <f>VLOOKUP($D46,HData!$A$2:$AE$219,T$3,FALSE)</f>
        <v>3.0000000000000001E-3</v>
      </c>
      <c r="U46" s="48">
        <f>VLOOKUP($D46,HData!$A$2:$AE$219,U$3,FALSE)</f>
        <v>4.0000000000000001E-3</v>
      </c>
      <c r="V46" s="48">
        <f>VLOOKUP($D46,HData!$A$2:$AE$219,V$3,FALSE)</f>
        <v>5.0000000000000001E-3</v>
      </c>
      <c r="W46" s="6"/>
      <c r="X46" s="58">
        <f t="shared" si="58"/>
        <v>-7.1704521786905891E-3</v>
      </c>
      <c r="Y46" s="58">
        <f t="shared" si="59"/>
        <v>-0.45238095238095244</v>
      </c>
      <c r="Z46" s="58">
        <f t="shared" si="60"/>
        <v>-0.65671641791044777</v>
      </c>
      <c r="AA46" s="58">
        <f t="shared" si="61"/>
        <v>-0.55121951219512189</v>
      </c>
      <c r="AB46" s="6"/>
      <c r="AC46" s="6"/>
      <c r="AD46" s="6"/>
      <c r="AE46" s="6"/>
      <c r="AF46" s="6"/>
      <c r="AG46" s="6"/>
      <c r="AH46" s="6"/>
      <c r="AI46" s="6"/>
      <c r="AJ46" s="6"/>
      <c r="AK46" s="6"/>
      <c r="AL46" s="6"/>
      <c r="AM46" s="6"/>
      <c r="AN46" s="6"/>
      <c r="AO46" s="6"/>
      <c r="AP46" s="6"/>
      <c r="AQ46" s="6"/>
      <c r="AR46" s="6"/>
      <c r="AS46" s="6"/>
      <c r="AT46" s="6"/>
      <c r="AU46" s="6"/>
      <c r="AV46" s="6"/>
      <c r="AY46" s="65" t="s">
        <v>296</v>
      </c>
      <c r="BE46">
        <f t="shared" si="62"/>
        <v>-0.45238095238095244</v>
      </c>
      <c r="BF46">
        <f t="shared" si="63"/>
        <v>-0.42465753424657526</v>
      </c>
      <c r="BG46">
        <f t="shared" si="64"/>
        <v>8.9552238805970019E-2</v>
      </c>
      <c r="BH46">
        <f t="shared" si="65"/>
        <v>0</v>
      </c>
      <c r="BI46">
        <f t="shared" si="66"/>
        <v>0.75163398692810468</v>
      </c>
      <c r="BJ46">
        <f t="shared" si="67"/>
        <v>2.0000000000000018E-2</v>
      </c>
      <c r="BK46">
        <f t="shared" si="68"/>
        <v>-0.15730337078651685</v>
      </c>
      <c r="BL46">
        <f t="shared" si="69"/>
        <v>-0.3776223776223776</v>
      </c>
      <c r="BM46">
        <f t="shared" si="70"/>
        <v>0.39512195121951216</v>
      </c>
      <c r="BN46">
        <f t="shared" si="71"/>
        <v>5.6701030927834954E-2</v>
      </c>
      <c r="BO46">
        <f t="shared" si="72"/>
        <v>2.6455026455026478E-2</v>
      </c>
      <c r="BP46">
        <f t="shared" si="73"/>
        <v>62</v>
      </c>
      <c r="BQ46">
        <f t="shared" si="74"/>
        <v>-0.25</v>
      </c>
      <c r="BR46">
        <f t="shared" si="75"/>
        <v>-0.2</v>
      </c>
      <c r="BS46" t="e">
        <f t="shared" si="76"/>
        <v>#DIV/0!</v>
      </c>
    </row>
    <row r="47" spans="1:73" s="8" customFormat="1" x14ac:dyDescent="0.2">
      <c r="A47" s="23"/>
      <c r="B47" s="6"/>
      <c r="C47" s="6"/>
      <c r="D47" s="39" t="s">
        <v>297</v>
      </c>
      <c r="E47" s="43"/>
      <c r="F47" s="48">
        <f>B23</f>
        <v>0.11</v>
      </c>
      <c r="G47" s="52"/>
      <c r="H47" s="48">
        <f>VLOOKUP($D47,HData!$A$2:$AE$219,H$3,FALSE)</f>
        <v>0.129</v>
      </c>
      <c r="I47" s="48">
        <f>VLOOKUP($D47,HData!$A$2:$AE$219,I$3,FALSE)</f>
        <v>0.25700000000000001</v>
      </c>
      <c r="J47" s="48">
        <f>VLOOKUP($D47,HData!$A$2:$AE$219,J$3,FALSE)</f>
        <v>0.54400000000000004</v>
      </c>
      <c r="K47" s="48">
        <f>VLOOKUP($D47,HData!$A$2:$AE$219,K$3,FALSE)</f>
        <v>0.44500000000000001</v>
      </c>
      <c r="L47" s="48">
        <f>VLOOKUP($D47,HData!$A$2:$AE$219,L$3,FALSE)</f>
        <v>0.45700000000000002</v>
      </c>
      <c r="M47" s="48">
        <f>VLOOKUP($D47,HData!$A$2:$AE$219,M$3,FALSE)</f>
        <v>0.217</v>
      </c>
      <c r="N47" s="48">
        <f>VLOOKUP($D47,HData!$A$2:$AE$219,N$3,FALSE)</f>
        <v>0.21299999999999999</v>
      </c>
      <c r="O47" s="48">
        <f>VLOOKUP($D47,HData!$A$2:$AE$219,O$3,FALSE)</f>
        <v>0.26800000000000002</v>
      </c>
      <c r="P47" s="48">
        <f>VLOOKUP($D47,HData!$A$2:$AE$219,P$3,FALSE)</f>
        <v>0.48899999999999999</v>
      </c>
      <c r="Q47" s="48">
        <f>VLOOKUP($D47,HData!$A$2:$AE$219,Q$3,FALSE)</f>
        <v>0.33800000000000002</v>
      </c>
      <c r="R47" s="48">
        <f>VLOOKUP($D47,HData!$A$2:$AE$219,R$3,FALSE)</f>
        <v>0.316</v>
      </c>
      <c r="S47" s="48">
        <f>VLOOKUP($D47,HData!$A$2:$AE$219,S$3,FALSE)</f>
        <v>0.308</v>
      </c>
      <c r="T47" s="48">
        <f>VLOOKUP($D47,HData!$A$2:$AE$219,T$3,FALSE)</f>
        <v>4.0000000000000001E-3</v>
      </c>
      <c r="U47" s="48">
        <f>VLOOKUP($D47,HData!$A$2:$AE$219,U$3,FALSE)</f>
        <v>5.0000000000000001E-3</v>
      </c>
      <c r="V47" s="48">
        <f>VLOOKUP($D47,HData!$A$2:$AE$219,V$3,FALSE)</f>
        <v>7.0000000000000001E-3</v>
      </c>
      <c r="W47" s="30"/>
      <c r="X47" s="58">
        <f t="shared" si="58"/>
        <v>5.5315296742656804E-2</v>
      </c>
      <c r="Y47" s="58">
        <f t="shared" si="59"/>
        <v>-0.49805447470817121</v>
      </c>
      <c r="Z47" s="58">
        <f t="shared" si="60"/>
        <v>-0.71772428884026263</v>
      </c>
      <c r="AA47" s="58">
        <f t="shared" si="61"/>
        <v>-0.61834319526627224</v>
      </c>
      <c r="AB47" s="6"/>
      <c r="AC47" s="6"/>
      <c r="AD47" s="6"/>
      <c r="AE47" s="6"/>
      <c r="AF47" s="6"/>
      <c r="AG47" s="6"/>
      <c r="AH47" s="6"/>
      <c r="AI47" s="6"/>
      <c r="AJ47" s="6"/>
      <c r="AK47" s="6"/>
      <c r="AL47" s="6"/>
      <c r="AM47" s="6"/>
      <c r="AN47" s="6"/>
      <c r="AO47" s="6"/>
      <c r="AP47" s="6"/>
      <c r="AQ47" s="6"/>
      <c r="AR47" s="6"/>
      <c r="AS47" s="6"/>
      <c r="AT47" s="6"/>
      <c r="AU47" s="6"/>
      <c r="AV47" s="6"/>
      <c r="AW47"/>
      <c r="AX47"/>
      <c r="AY47" s="65" t="s">
        <v>297</v>
      </c>
      <c r="AZ47"/>
      <c r="BA47"/>
      <c r="BB47"/>
      <c r="BD47"/>
      <c r="BE47">
        <f t="shared" si="62"/>
        <v>-0.49805447470817121</v>
      </c>
      <c r="BF47">
        <f t="shared" si="63"/>
        <v>-0.52757352941176472</v>
      </c>
      <c r="BG47">
        <f t="shared" si="64"/>
        <v>0.22247191011235962</v>
      </c>
      <c r="BH47">
        <f t="shared" si="65"/>
        <v>-2.6258205689277923E-2</v>
      </c>
      <c r="BI47">
        <f t="shared" si="66"/>
        <v>1.1059907834101383</v>
      </c>
      <c r="BJ47">
        <f t="shared" si="67"/>
        <v>1.8779342723004713E-2</v>
      </c>
      <c r="BK47">
        <f t="shared" si="68"/>
        <v>-0.20522388059701499</v>
      </c>
      <c r="BL47">
        <f t="shared" si="69"/>
        <v>-0.45194274028629855</v>
      </c>
      <c r="BM47">
        <f t="shared" si="70"/>
        <v>0.44674556213017741</v>
      </c>
      <c r="BN47">
        <f t="shared" si="71"/>
        <v>6.9620253164557028E-2</v>
      </c>
      <c r="BO47">
        <f t="shared" si="72"/>
        <v>2.5974025974025997E-2</v>
      </c>
      <c r="BP47">
        <f t="shared" si="73"/>
        <v>76</v>
      </c>
      <c r="BQ47">
        <f t="shared" si="74"/>
        <v>-0.2</v>
      </c>
      <c r="BR47">
        <f t="shared" si="75"/>
        <v>-0.2857142857142857</v>
      </c>
      <c r="BS47" t="e">
        <f t="shared" si="76"/>
        <v>#DIV/0!</v>
      </c>
      <c r="BU47"/>
    </row>
    <row r="48" spans="1:73" x14ac:dyDescent="0.2">
      <c r="A48" s="20"/>
      <c r="B48" s="24"/>
      <c r="C48" s="6"/>
      <c r="D48" s="39" t="s">
        <v>351</v>
      </c>
      <c r="E48" s="6"/>
      <c r="F48" s="47">
        <f>F22/F10</f>
        <v>0.10783366062616376</v>
      </c>
      <c r="G48" s="59"/>
      <c r="H48" s="47">
        <f t="shared" ref="H48:V48" si="77">H22/H10</f>
        <v>0.12326415977531596</v>
      </c>
      <c r="I48" s="47">
        <f t="shared" si="77"/>
        <v>0.32064965197215778</v>
      </c>
      <c r="J48" s="47">
        <f t="shared" si="77"/>
        <v>2.0858183079056865</v>
      </c>
      <c r="K48" s="47">
        <f t="shared" si="77"/>
        <v>1.0549264378065091</v>
      </c>
      <c r="L48" s="47">
        <f t="shared" si="77"/>
        <v>1.3708703374777975</v>
      </c>
      <c r="M48" s="47">
        <f t="shared" si="77"/>
        <v>0.81902696002479081</v>
      </c>
      <c r="N48" s="47">
        <f t="shared" si="77"/>
        <v>0.48893261190359077</v>
      </c>
      <c r="O48" s="47">
        <f t="shared" si="77"/>
        <v>0.58668231152830741</v>
      </c>
      <c r="P48" s="47">
        <f t="shared" si="77"/>
        <v>1.3276756247053276</v>
      </c>
      <c r="Q48" s="47">
        <f t="shared" si="77"/>
        <v>1.5995762711864407</v>
      </c>
      <c r="R48" s="47">
        <f t="shared" si="77"/>
        <v>1.4279877425944842</v>
      </c>
      <c r="S48" s="47">
        <f t="shared" si="77"/>
        <v>1.8693877551020408</v>
      </c>
      <c r="T48" s="47">
        <f t="shared" si="77"/>
        <v>2.1726700971983991E-2</v>
      </c>
      <c r="U48" s="47">
        <f t="shared" si="77"/>
        <v>2.5149560117302055E-2</v>
      </c>
      <c r="V48" s="47">
        <f t="shared" si="77"/>
        <v>5.2834876891800317E-2</v>
      </c>
      <c r="W48" s="30"/>
      <c r="X48" s="58">
        <f t="shared" si="58"/>
        <v>-8.2649902952177008E-3</v>
      </c>
      <c r="Y48" s="58">
        <f t="shared" si="59"/>
        <v>-0.61557993586714055</v>
      </c>
      <c r="Z48" s="58">
        <f t="shared" si="60"/>
        <v>-0.91008328329424348</v>
      </c>
      <c r="AA48" s="58">
        <f t="shared" si="61"/>
        <v>-0.92293949216695481</v>
      </c>
      <c r="AB48" s="6"/>
      <c r="AC48" s="6"/>
      <c r="AD48" s="6"/>
      <c r="AE48" s="6"/>
      <c r="AF48" s="6"/>
      <c r="AG48" s="6"/>
      <c r="AH48" s="6"/>
      <c r="AI48" s="6"/>
      <c r="AJ48" s="6"/>
      <c r="AK48" s="6"/>
      <c r="AL48" s="6"/>
      <c r="AM48" s="6"/>
      <c r="AN48" s="6"/>
      <c r="AO48" s="6"/>
      <c r="AP48" s="6"/>
      <c r="AQ48" s="6"/>
      <c r="AR48" s="6"/>
      <c r="AS48" s="6"/>
      <c r="AT48" s="6"/>
      <c r="AU48" s="6"/>
      <c r="AV48" s="6"/>
      <c r="AY48" s="65" t="s">
        <v>351</v>
      </c>
      <c r="BE48">
        <f t="shared" si="62"/>
        <v>-0.61557993586714055</v>
      </c>
      <c r="BF48">
        <f t="shared" si="63"/>
        <v>-0.84627153249310894</v>
      </c>
      <c r="BG48">
        <f t="shared" si="64"/>
        <v>0.97721683062820341</v>
      </c>
      <c r="BH48">
        <f t="shared" si="65"/>
        <v>-0.23046957179960534</v>
      </c>
      <c r="BI48">
        <f t="shared" si="66"/>
        <v>0.67377925805556294</v>
      </c>
      <c r="BJ48">
        <f t="shared" si="67"/>
        <v>0.67513260536257513</v>
      </c>
      <c r="BK48">
        <f t="shared" si="68"/>
        <v>-0.1666143630103295</v>
      </c>
      <c r="BL48">
        <f t="shared" si="69"/>
        <v>-0.55811321635243605</v>
      </c>
      <c r="BM48">
        <f t="shared" si="70"/>
        <v>-0.16998292071402038</v>
      </c>
      <c r="BN48">
        <f t="shared" si="71"/>
        <v>0.12016106544458184</v>
      </c>
      <c r="BO48">
        <f t="shared" si="72"/>
        <v>-0.23612009402696804</v>
      </c>
      <c r="BP48">
        <f t="shared" si="73"/>
        <v>85.04103114930183</v>
      </c>
      <c r="BQ48">
        <f t="shared" si="74"/>
        <v>-0.13610015957946123</v>
      </c>
      <c r="BR48">
        <f t="shared" si="75"/>
        <v>-0.52399699598419758</v>
      </c>
      <c r="BS48" t="e">
        <f t="shared" si="76"/>
        <v>#DIV/0!</v>
      </c>
    </row>
    <row r="49" spans="1:73" s="8" customFormat="1" x14ac:dyDescent="0.2">
      <c r="A49" s="20"/>
      <c r="B49" s="24"/>
      <c r="C49" s="6"/>
      <c r="D49" s="39" t="s">
        <v>352</v>
      </c>
      <c r="E49" s="6"/>
      <c r="F49" s="47">
        <f>F22/F31</f>
        <v>0.14714743901253766</v>
      </c>
      <c r="G49" s="59"/>
      <c r="H49" s="48">
        <f t="shared" ref="H49:V49" si="78">H22/H31</f>
        <v>0.16876735740226448</v>
      </c>
      <c r="I49" s="47">
        <f t="shared" si="78"/>
        <v>0.40916324340327892</v>
      </c>
      <c r="J49" s="47">
        <f t="shared" si="78"/>
        <v>3.1594012605042017</v>
      </c>
      <c r="K49" s="47">
        <f t="shared" si="78"/>
        <v>1.4548696507624201</v>
      </c>
      <c r="L49" s="47">
        <f t="shared" si="78"/>
        <v>1.6442266723476779</v>
      </c>
      <c r="M49" s="47">
        <f t="shared" si="78"/>
        <v>0.6186797752808989</v>
      </c>
      <c r="N49" s="47">
        <f t="shared" si="78"/>
        <v>0.63251670378619151</v>
      </c>
      <c r="O49" s="47">
        <f t="shared" si="78"/>
        <v>0.68752148504640775</v>
      </c>
      <c r="P49" s="47">
        <f t="shared" si="78"/>
        <v>1.8823529411764706</v>
      </c>
      <c r="Q49" s="47">
        <f t="shared" si="78"/>
        <v>1.3865932047750229</v>
      </c>
      <c r="R49" s="47">
        <f t="shared" si="78"/>
        <v>1.7831632653061225</v>
      </c>
      <c r="S49" s="47">
        <f t="shared" si="78"/>
        <v>2.3689655172413793</v>
      </c>
      <c r="T49" s="47">
        <f t="shared" si="78"/>
        <v>2.9645810578873461E-2</v>
      </c>
      <c r="U49" s="47">
        <f t="shared" si="78"/>
        <v>2.7829698857736243E-2</v>
      </c>
      <c r="V49" s="47">
        <f t="shared" si="78"/>
        <v>4.0474130472400074E-2</v>
      </c>
      <c r="W49" s="30"/>
      <c r="X49" s="58">
        <f t="shared" si="58"/>
        <v>0.25121065911684515</v>
      </c>
      <c r="Y49" s="58">
        <f t="shared" si="59"/>
        <v>-0.58753050249940408</v>
      </c>
      <c r="Z49" s="58">
        <f t="shared" si="60"/>
        <v>-0.89735760875275594</v>
      </c>
      <c r="AA49" s="58">
        <f t="shared" si="61"/>
        <v>-0.87828632303902909</v>
      </c>
      <c r="AB49" s="6"/>
      <c r="AC49" s="6"/>
      <c r="AD49" s="6"/>
      <c r="AE49" s="6"/>
      <c r="AF49" s="6"/>
      <c r="AG49" s="6"/>
      <c r="AH49" s="6"/>
      <c r="AI49" s="6"/>
      <c r="AJ49" s="6"/>
      <c r="AK49" s="6"/>
      <c r="AL49" s="6"/>
      <c r="AM49" s="6"/>
      <c r="AN49" s="6"/>
      <c r="AO49" s="6"/>
      <c r="AP49" s="6"/>
      <c r="AQ49" s="6"/>
      <c r="AR49" s="6"/>
      <c r="AS49" s="6"/>
      <c r="AT49" s="6"/>
      <c r="AU49" s="6"/>
      <c r="AV49" s="6"/>
      <c r="AW49"/>
      <c r="AX49"/>
      <c r="AY49" s="65" t="s">
        <v>352</v>
      </c>
      <c r="AZ49"/>
      <c r="BA49"/>
      <c r="BB49"/>
      <c r="BD49"/>
      <c r="BE49">
        <f t="shared" si="62"/>
        <v>-0.58753050249940408</v>
      </c>
      <c r="BF49">
        <f t="shared" si="63"/>
        <v>-0.87049342275125208</v>
      </c>
      <c r="BG49">
        <f t="shared" si="64"/>
        <v>1.1716043487803369</v>
      </c>
      <c r="BH49">
        <f t="shared" si="65"/>
        <v>-0.11516479130878467</v>
      </c>
      <c r="BI49">
        <f t="shared" si="66"/>
        <v>1.6576376633633294</v>
      </c>
      <c r="BJ49">
        <f t="shared" si="67"/>
        <v>-2.1875989080550644E-2</v>
      </c>
      <c r="BK49">
        <f t="shared" si="68"/>
        <v>-8.0004454342984518E-2</v>
      </c>
      <c r="BL49">
        <f t="shared" si="69"/>
        <v>-0.63475421106909591</v>
      </c>
      <c r="BM49">
        <f t="shared" si="70"/>
        <v>0.35753798208024934</v>
      </c>
      <c r="BN49">
        <f t="shared" si="71"/>
        <v>-0.22239694381715455</v>
      </c>
      <c r="BO49">
        <f t="shared" si="72"/>
        <v>-0.24728188218518846</v>
      </c>
      <c r="BP49">
        <f t="shared" si="73"/>
        <v>78.908947368421053</v>
      </c>
      <c r="BQ49">
        <f t="shared" si="74"/>
        <v>6.5258044308027646E-2</v>
      </c>
      <c r="BR49">
        <f t="shared" si="75"/>
        <v>-0.31240773963720508</v>
      </c>
      <c r="BS49" t="e">
        <f t="shared" si="76"/>
        <v>#DIV/0!</v>
      </c>
      <c r="BU49"/>
    </row>
    <row r="50" spans="1:73" ht="13" customHeight="1" x14ac:dyDescent="0.2">
      <c r="A50" s="20"/>
      <c r="B50" s="24"/>
      <c r="C50" s="6"/>
      <c r="D50" s="39" t="s">
        <v>300</v>
      </c>
      <c r="E50" s="43"/>
      <c r="F50" s="48">
        <f>B26</f>
        <v>390.16</v>
      </c>
      <c r="G50" s="52"/>
      <c r="H50" s="48">
        <f>VLOOKUP($D50,HData!$A$2:$AE$219,H$3,FALSE)</f>
        <v>329.8</v>
      </c>
      <c r="I50" s="48">
        <f>VLOOKUP($D50,HData!$A$2:$AE$219,I$3,FALSE)</f>
        <v>128.30000000000001</v>
      </c>
      <c r="J50" s="48">
        <f>VLOOKUP($D50,HData!$A$2:$AE$219,J$3,FALSE)</f>
        <v>16.12</v>
      </c>
      <c r="K50" s="48">
        <f>VLOOKUP($D50,HData!$A$2:$AE$219,K$3,FALSE)</f>
        <v>42.55</v>
      </c>
      <c r="L50" s="48">
        <f>VLOOKUP($D50,HData!$A$2:$AE$219,L$3,FALSE)</f>
        <v>24.63</v>
      </c>
      <c r="M50" s="48">
        <f>VLOOKUP($D50,HData!$A$2:$AE$219,M$3,FALSE)</f>
        <v>54.73</v>
      </c>
      <c r="N50" s="48">
        <f>VLOOKUP($D50,HData!$A$2:$AE$219,N$3,FALSE)</f>
        <v>65.59</v>
      </c>
      <c r="O50" s="48">
        <f>VLOOKUP($D50,HData!$A$2:$AE$219,O$3,FALSE)</f>
        <v>52.62</v>
      </c>
      <c r="P50" s="48">
        <f>VLOOKUP($D50,HData!$A$2:$AE$219,P$3,FALSE)</f>
        <v>33.340000000000003</v>
      </c>
      <c r="Q50" s="48">
        <f>VLOOKUP($D50,HData!$A$2:$AE$219,Q$3,FALSE)</f>
        <v>15.89</v>
      </c>
      <c r="R50" s="48">
        <f>VLOOKUP($D50,HData!$A$2:$AE$219,R$3,FALSE)</f>
        <v>16.5</v>
      </c>
      <c r="S50" s="48">
        <f>VLOOKUP($D50,HData!$A$2:$AE$219,S$3,FALSE)</f>
        <v>49.6</v>
      </c>
      <c r="T50" s="48">
        <f>VLOOKUP($D50,HData!$A$2:$AE$219,T$3,FALSE)</f>
        <v>196.8</v>
      </c>
      <c r="U50" s="48">
        <f>VLOOKUP($D50,HData!$A$2:$AE$219,U$3,FALSE)</f>
        <v>209.9</v>
      </c>
      <c r="V50" s="48">
        <f>VLOOKUP($D50,HData!$A$2:$AE$219,V$3,FALSE)</f>
        <v>81.790000000000006</v>
      </c>
      <c r="W50" s="30"/>
      <c r="X50" s="58">
        <f t="shared" si="58"/>
        <v>1.6172077402772054</v>
      </c>
      <c r="Y50" s="58">
        <f t="shared" si="59"/>
        <v>1.5705378020265002</v>
      </c>
      <c r="Z50" s="58">
        <f t="shared" si="60"/>
        <v>12.390174583840846</v>
      </c>
      <c r="AA50" s="58">
        <f t="shared" si="61"/>
        <v>19.755191944619259</v>
      </c>
      <c r="AB50" s="6"/>
      <c r="AC50" s="6"/>
      <c r="AD50" s="6"/>
      <c r="AE50" s="6"/>
      <c r="AF50" s="6"/>
      <c r="AG50" s="6"/>
      <c r="AH50" s="6"/>
      <c r="AI50" s="6"/>
      <c r="AJ50" s="6"/>
      <c r="AK50" s="6"/>
      <c r="AL50" s="6"/>
      <c r="AM50" s="6"/>
      <c r="AN50" s="6"/>
      <c r="AO50" s="6"/>
      <c r="AP50" s="6"/>
      <c r="AQ50" s="6"/>
      <c r="AR50" s="6"/>
      <c r="AS50" s="6"/>
      <c r="AT50" s="6"/>
      <c r="AU50" s="6"/>
      <c r="AV50" s="6"/>
      <c r="AY50" s="65" t="s">
        <v>300</v>
      </c>
      <c r="BE50">
        <f t="shared" si="62"/>
        <v>1.5705378020265002</v>
      </c>
      <c r="BF50">
        <f t="shared" si="63"/>
        <v>6.9590570719602978</v>
      </c>
      <c r="BG50">
        <f t="shared" si="64"/>
        <v>-0.6211515863689776</v>
      </c>
      <c r="BH50">
        <f t="shared" si="65"/>
        <v>0.72756800649614284</v>
      </c>
      <c r="BI50">
        <f t="shared" si="66"/>
        <v>-0.54997259272793719</v>
      </c>
      <c r="BJ50">
        <f t="shared" si="67"/>
        <v>-0.16557402042994368</v>
      </c>
      <c r="BK50">
        <f t="shared" si="68"/>
        <v>0.2464842265298367</v>
      </c>
      <c r="BL50">
        <f t="shared" si="69"/>
        <v>0.57828434313137345</v>
      </c>
      <c r="BM50">
        <f t="shared" si="70"/>
        <v>1.0981749528005036</v>
      </c>
      <c r="BN50">
        <f t="shared" si="71"/>
        <v>-3.6969696969696937E-2</v>
      </c>
      <c r="BO50">
        <f t="shared" si="72"/>
        <v>-0.66733870967741937</v>
      </c>
      <c r="BP50">
        <f t="shared" si="73"/>
        <v>-0.74796747967479682</v>
      </c>
      <c r="BQ50">
        <f t="shared" si="74"/>
        <v>-6.2410671748451614E-2</v>
      </c>
      <c r="BR50">
        <f t="shared" si="75"/>
        <v>1.5663284020051351</v>
      </c>
      <c r="BS50" t="e">
        <f t="shared" si="76"/>
        <v>#DIV/0!</v>
      </c>
    </row>
    <row r="51" spans="1:73" x14ac:dyDescent="0.2">
      <c r="A51" s="6"/>
      <c r="B51" s="6"/>
      <c r="C51" s="6"/>
      <c r="D51" s="39" t="s">
        <v>366</v>
      </c>
      <c r="E51" s="43"/>
      <c r="F51" s="48">
        <f>F20/F29</f>
        <v>1.4055587180793161</v>
      </c>
      <c r="G51" s="52"/>
      <c r="H51" s="48">
        <f>H20/H29</f>
        <v>1.4068476054811099</v>
      </c>
      <c r="I51" s="48">
        <f t="shared" ref="I51:V51" si="79">I20/I29</f>
        <v>1.5293405928614641</v>
      </c>
      <c r="J51" s="48">
        <f t="shared" si="79"/>
        <v>1.8633545993393965</v>
      </c>
      <c r="K51" s="48">
        <f t="shared" si="79"/>
        <v>1.6604163535247256</v>
      </c>
      <c r="L51" s="48">
        <f t="shared" si="79"/>
        <v>1.7043153969099627</v>
      </c>
      <c r="M51" s="48">
        <f t="shared" si="79"/>
        <v>1.4187971156997705</v>
      </c>
      <c r="N51" s="48">
        <f t="shared" si="79"/>
        <v>1.422821665596232</v>
      </c>
      <c r="O51" s="48">
        <f t="shared" si="79"/>
        <v>1.5046178557087404</v>
      </c>
      <c r="P51" s="48">
        <f t="shared" si="79"/>
        <v>1.707913918778202</v>
      </c>
      <c r="Q51" s="48">
        <f t="shared" si="79"/>
        <v>1.6491385097337212</v>
      </c>
      <c r="R51" s="48">
        <f t="shared" si="79"/>
        <v>1.629923042100498</v>
      </c>
      <c r="S51" s="48">
        <f t="shared" si="79"/>
        <v>1.6272441651705565</v>
      </c>
      <c r="T51" s="48">
        <f t="shared" si="79"/>
        <v>1.3280861640430821</v>
      </c>
      <c r="U51" s="48">
        <f t="shared" si="79"/>
        <v>1.3393632416787264</v>
      </c>
      <c r="V51" s="48">
        <f t="shared" si="79"/>
        <v>1.4130776485381955</v>
      </c>
      <c r="W51" s="52"/>
      <c r="X51" s="58">
        <f t="shared" si="58"/>
        <v>7.6707951365850239E-3</v>
      </c>
      <c r="Y51" s="58">
        <f t="shared" si="59"/>
        <v>-8.0095295941347094E-2</v>
      </c>
      <c r="Z51" s="58">
        <f t="shared" si="60"/>
        <v>-0.17453799453327815</v>
      </c>
      <c r="AA51" s="58">
        <f t="shared" si="61"/>
        <v>-0.14691968128967708</v>
      </c>
      <c r="AB51" s="6"/>
      <c r="AC51" s="6"/>
      <c r="AD51" s="6"/>
      <c r="AE51" s="6"/>
      <c r="AF51" s="6"/>
      <c r="AG51" s="6"/>
      <c r="AH51" s="6"/>
      <c r="AI51" s="6"/>
      <c r="AJ51" s="6"/>
      <c r="AK51" s="6"/>
      <c r="AL51" s="6"/>
      <c r="AM51" s="6"/>
      <c r="AN51" s="6"/>
      <c r="AO51" s="6"/>
      <c r="AP51" s="6"/>
      <c r="AQ51" s="6"/>
      <c r="AR51" s="6"/>
      <c r="AS51" s="6"/>
      <c r="AT51" s="6"/>
      <c r="AU51" s="6"/>
      <c r="AV51" s="6"/>
      <c r="AY51" s="65" t="s">
        <v>366</v>
      </c>
      <c r="BE51">
        <f t="shared" si="62"/>
        <v>-8.0095295941347094E-2</v>
      </c>
      <c r="BF51">
        <f t="shared" si="63"/>
        <v>-0.1792541294052932</v>
      </c>
      <c r="BG51">
        <f t="shared" si="64"/>
        <v>0.12222130032860394</v>
      </c>
      <c r="BH51">
        <f t="shared" si="65"/>
        <v>-2.5757581879990627E-2</v>
      </c>
      <c r="BI51">
        <f t="shared" si="66"/>
        <v>0.2012396825809521</v>
      </c>
      <c r="BJ51">
        <f t="shared" si="67"/>
        <v>-2.8285694502515331E-3</v>
      </c>
      <c r="BK51">
        <f t="shared" si="68"/>
        <v>-5.4363431752562065E-2</v>
      </c>
      <c r="BL51">
        <f t="shared" si="69"/>
        <v>-0.11903179711474826</v>
      </c>
      <c r="BM51">
        <f t="shared" si="70"/>
        <v>3.5640068252345246E-2</v>
      </c>
      <c r="BN51">
        <f t="shared" si="71"/>
        <v>1.1789187057850335E-2</v>
      </c>
      <c r="BO51">
        <f t="shared" si="72"/>
        <v>1.6462661149937066E-3</v>
      </c>
      <c r="BP51">
        <f t="shared" si="73"/>
        <v>0.22525496404295792</v>
      </c>
      <c r="BQ51">
        <f t="shared" si="74"/>
        <v>-8.4197305739926939E-3</v>
      </c>
      <c r="BR51">
        <f t="shared" si="75"/>
        <v>-5.2165857223575328E-2</v>
      </c>
      <c r="BS51" t="e">
        <f t="shared" si="76"/>
        <v>#DIV/0!</v>
      </c>
    </row>
    <row r="52" spans="1:73" ht="14" customHeight="1" x14ac:dyDescent="0.2">
      <c r="A52" s="6"/>
      <c r="B52" s="6"/>
      <c r="C52" s="6"/>
      <c r="D52" s="50" t="s">
        <v>39</v>
      </c>
      <c r="E52" s="14"/>
      <c r="F52" s="52"/>
      <c r="G52" s="53"/>
      <c r="H52" s="52"/>
      <c r="I52" s="52"/>
      <c r="J52" s="52"/>
      <c r="K52" s="52"/>
      <c r="L52" s="52"/>
      <c r="M52" s="52"/>
      <c r="N52" s="52"/>
      <c r="O52" s="52"/>
      <c r="P52" s="52"/>
      <c r="Q52" s="52"/>
      <c r="R52" s="52"/>
      <c r="S52" s="52"/>
      <c r="T52" s="52"/>
      <c r="U52" s="52"/>
      <c r="V52" s="52"/>
      <c r="W52" s="30"/>
      <c r="X52" s="63"/>
      <c r="Y52" s="63"/>
      <c r="Z52" s="63"/>
      <c r="AA52" s="63"/>
      <c r="AB52" s="6"/>
      <c r="AC52" s="6"/>
      <c r="AD52" s="6"/>
      <c r="AE52" s="6"/>
      <c r="AF52" s="6"/>
      <c r="AG52" s="6"/>
      <c r="AH52" s="6"/>
      <c r="AI52" s="6"/>
      <c r="AJ52" s="6"/>
      <c r="AK52" s="6"/>
      <c r="AL52" s="6"/>
      <c r="AM52" s="6"/>
      <c r="AN52" s="6"/>
      <c r="AO52" s="6"/>
      <c r="AP52" s="6"/>
      <c r="AQ52" s="6"/>
      <c r="AR52" s="6"/>
      <c r="AS52" s="6"/>
      <c r="AT52" s="6"/>
      <c r="AU52" s="6"/>
      <c r="AV52" s="6"/>
      <c r="AY52" s="64" t="s">
        <v>39</v>
      </c>
    </row>
    <row r="53" spans="1:73" x14ac:dyDescent="0.2">
      <c r="A53" s="23"/>
      <c r="B53" s="6"/>
      <c r="C53" s="21"/>
      <c r="D53" s="48" t="s">
        <v>232</v>
      </c>
      <c r="E53" s="30"/>
      <c r="F53" s="48">
        <f>VLOOKUP(AY53,'12QData'!$A$5:$W$218,2,FALSE)</f>
        <v>3.54</v>
      </c>
      <c r="G53" s="52"/>
      <c r="H53" s="48">
        <f>VLOOKUP($D53,HData!$A$2:$AE$219,H$3,FALSE)</f>
        <v>2.97</v>
      </c>
      <c r="I53" s="48">
        <f>VLOOKUP($D53,HData!$A$2:$AE$219,I$3,FALSE)</f>
        <v>1.21</v>
      </c>
      <c r="J53" s="48">
        <f>VLOOKUP($D53,HData!$A$2:$AE$219,J$3,FALSE)</f>
        <v>0.18</v>
      </c>
      <c r="K53" s="48">
        <f>VLOOKUP($D53,HData!$A$2:$AE$219,K$3,FALSE)</f>
        <v>0.39</v>
      </c>
      <c r="L53" s="48">
        <f>VLOOKUP($D53,HData!$A$2:$AE$219,L$3,FALSE)</f>
        <v>0.18</v>
      </c>
      <c r="M53" s="48">
        <f>VLOOKUP($D53,HData!$A$2:$AE$219,M$3,FALSE)</f>
        <v>0.12</v>
      </c>
      <c r="N53" s="48">
        <f>VLOOKUP($D53,HData!$A$2:$AE$219,N$3,FALSE)</f>
        <v>0.17</v>
      </c>
      <c r="O53" s="48">
        <f>VLOOKUP($D53,HData!$A$2:$AE$219,O$3,FALSE)</f>
        <v>0.13</v>
      </c>
      <c r="P53" s="48">
        <f>VLOOKUP($D53,HData!$A$2:$AE$219,P$3,FALSE)</f>
        <v>7.6999999999999999E-2</v>
      </c>
      <c r="Q53" s="48">
        <f>VLOOKUP($D53,HData!$A$2:$AE$219,Q$3,FALSE)</f>
        <v>2.8000000000000001E-2</v>
      </c>
      <c r="R53" s="48">
        <f>VLOOKUP($D53,HData!$A$2:$AE$219,R$3,FALSE)</f>
        <v>2.8000000000000001E-2</v>
      </c>
      <c r="S53" s="48">
        <f>VLOOKUP($D53,HData!$A$2:$AE$219,S$3,FALSE)</f>
        <v>1.9E-2</v>
      </c>
      <c r="T53" s="48">
        <f>VLOOKUP($D53,HData!$A$2:$AE$219,T$3,FALSE)</f>
        <v>2.3E-2</v>
      </c>
      <c r="U53" s="48">
        <f>VLOOKUP($D53,HData!$A$2:$AE$219,U$3,FALSE)</f>
        <v>2.4E-2</v>
      </c>
      <c r="V53" s="48">
        <f>VLOOKUP($D53,HData!$A$2:$AE$219,V$3,FALSE)</f>
        <v>1.0999999999999999E-2</v>
      </c>
      <c r="W53" s="30"/>
      <c r="X53" s="58">
        <f>AVERAGE(BE53:BI53)</f>
        <v>1.6609945609945611</v>
      </c>
      <c r="Y53" s="58">
        <f>(H53-I53)/I53</f>
        <v>1.4545454545454548</v>
      </c>
      <c r="Z53" s="58">
        <f>(H53-L53)/L53</f>
        <v>15.5</v>
      </c>
      <c r="AA53" s="58">
        <f>(H53-Q53)/Q53</f>
        <v>105.07142857142857</v>
      </c>
      <c r="AB53" s="6"/>
      <c r="AC53" s="6"/>
      <c r="AD53" s="6"/>
      <c r="AE53" s="6"/>
      <c r="AF53" s="6"/>
      <c r="AG53" s="6"/>
      <c r="AH53" s="6"/>
      <c r="AI53" s="6"/>
      <c r="AJ53" s="6"/>
      <c r="AK53" s="6"/>
      <c r="AL53" s="6"/>
      <c r="AM53" s="6"/>
      <c r="AN53" s="6"/>
      <c r="AO53" s="6"/>
      <c r="AP53" s="6"/>
      <c r="AQ53" s="6"/>
      <c r="AR53" s="6"/>
      <c r="AS53" s="6"/>
      <c r="AT53" s="6"/>
      <c r="AU53" s="6"/>
      <c r="AV53" s="6"/>
      <c r="AY53" s="3" t="s">
        <v>33</v>
      </c>
      <c r="BE53">
        <f t="shared" ref="BE53:BS56" si="80">(H53-I53)/I53</f>
        <v>1.4545454545454548</v>
      </c>
      <c r="BF53">
        <f t="shared" si="80"/>
        <v>5.7222222222222223</v>
      </c>
      <c r="BG53">
        <f t="shared" si="80"/>
        <v>-0.53846153846153855</v>
      </c>
      <c r="BH53">
        <f t="shared" si="80"/>
        <v>1.1666666666666667</v>
      </c>
      <c r="BI53">
        <f t="shared" si="80"/>
        <v>0.5</v>
      </c>
      <c r="BJ53">
        <f t="shared" si="80"/>
        <v>-0.29411764705882359</v>
      </c>
      <c r="BK53">
        <f t="shared" si="80"/>
        <v>0.30769230769230776</v>
      </c>
      <c r="BL53">
        <f t="shared" si="80"/>
        <v>0.68831168831168843</v>
      </c>
      <c r="BM53">
        <f t="shared" si="80"/>
        <v>1.75</v>
      </c>
      <c r="BN53">
        <f t="shared" si="80"/>
        <v>0</v>
      </c>
      <c r="BO53">
        <f t="shared" si="80"/>
        <v>0.47368421052631587</v>
      </c>
      <c r="BP53">
        <f t="shared" si="80"/>
        <v>-0.17391304347826086</v>
      </c>
      <c r="BQ53">
        <f t="shared" si="80"/>
        <v>-4.1666666666666706E-2</v>
      </c>
      <c r="BR53">
        <f t="shared" si="80"/>
        <v>1.1818181818181821</v>
      </c>
      <c r="BS53" t="e">
        <f t="shared" si="80"/>
        <v>#DIV/0!</v>
      </c>
    </row>
    <row r="54" spans="1:73" x14ac:dyDescent="0.2">
      <c r="A54" s="6"/>
      <c r="B54" s="6"/>
      <c r="C54" s="24"/>
      <c r="D54" s="48" t="s">
        <v>233</v>
      </c>
      <c r="E54" s="30"/>
      <c r="F54" s="48">
        <f>VLOOKUP(AY54,'12QData'!$A$5:$W$218,2,FALSE)</f>
        <v>3.51</v>
      </c>
      <c r="G54" s="52"/>
      <c r="H54" s="48">
        <f>VLOOKUP($D54,HData!$A$2:$AE$219,H$3,FALSE)</f>
        <v>2.94</v>
      </c>
      <c r="I54" s="48">
        <f>VLOOKUP($D54,HData!$A$2:$AE$219,I$3,FALSE)</f>
        <v>1.19</v>
      </c>
      <c r="J54" s="48">
        <f>VLOOKUP($D54,HData!$A$2:$AE$219,J$3,FALSE)</f>
        <v>0.17</v>
      </c>
      <c r="K54" s="48">
        <f>VLOOKUP($D54,HData!$A$2:$AE$219,K$3,FALSE)</f>
        <v>0.39</v>
      </c>
      <c r="L54" s="48">
        <f>VLOOKUP($D54,HData!$A$2:$AE$219,L$3,FALSE)</f>
        <v>0.17</v>
      </c>
      <c r="M54" s="48">
        <f>VLOOKUP($D54,HData!$A$2:$AE$219,M$3,FALSE)</f>
        <v>0.11</v>
      </c>
      <c r="N54" s="48">
        <f>VLOOKUP($D54,HData!$A$2:$AE$219,N$3,FALSE)</f>
        <v>0.17</v>
      </c>
      <c r="O54" s="48">
        <f>VLOOKUP($D54,HData!$A$2:$AE$219,O$3,FALSE)</f>
        <v>0.12</v>
      </c>
      <c r="P54" s="48">
        <f>VLOOKUP($D54,HData!$A$2:$AE$219,P$3,FALSE)</f>
        <v>6.4000000000000001E-2</v>
      </c>
      <c r="Q54" s="48">
        <f>VLOOKUP($D54,HData!$A$2:$AE$219,Q$3,FALSE)</f>
        <v>2.7E-2</v>
      </c>
      <c r="R54" s="48">
        <f>VLOOKUP($D54,HData!$A$2:$AE$219,R$3,FALSE)</f>
        <v>2.8000000000000001E-2</v>
      </c>
      <c r="S54" s="48">
        <f>VLOOKUP($D54,HData!$A$2:$AE$219,S$3,FALSE)</f>
        <v>1.9E-2</v>
      </c>
      <c r="T54" s="48">
        <f>VLOOKUP($D54,HData!$A$2:$AE$219,T$3,FALSE)</f>
        <v>2.3E-2</v>
      </c>
      <c r="U54" s="48">
        <f>VLOOKUP($D54,HData!$A$2:$AE$219,U$3,FALSE)</f>
        <v>2.4E-2</v>
      </c>
      <c r="V54" s="48">
        <f>VLOOKUP($D54,HData!$A$2:$AE$219,V$3,FALSE)</f>
        <v>1.0999999999999999E-2</v>
      </c>
      <c r="W54" s="6"/>
      <c r="X54" s="58">
        <f>AVERAGE(BE54:BI54)</f>
        <v>1.7492115727409843</v>
      </c>
      <c r="Y54" s="58">
        <f>(H54-I54)/I54</f>
        <v>1.4705882352941178</v>
      </c>
      <c r="Z54" s="58">
        <f>(H54-L54)/L54</f>
        <v>16.294117647058822</v>
      </c>
      <c r="AA54" s="58">
        <f>(H54-Q54)/Q54</f>
        <v>107.88888888888889</v>
      </c>
      <c r="AB54" s="6"/>
      <c r="AC54" s="6"/>
      <c r="AD54" s="6"/>
      <c r="AE54" s="6"/>
      <c r="AF54" s="6"/>
      <c r="AG54" s="6"/>
      <c r="AH54" s="6"/>
      <c r="AI54" s="6"/>
      <c r="AJ54" s="6"/>
      <c r="AK54" s="6"/>
      <c r="AL54" s="6"/>
      <c r="AM54" s="6"/>
      <c r="AN54" s="6"/>
      <c r="AO54" s="6"/>
      <c r="AP54" s="6"/>
      <c r="AQ54" s="6"/>
      <c r="AR54" s="6"/>
      <c r="AS54" s="6"/>
      <c r="AT54" s="6"/>
      <c r="AU54" s="6"/>
      <c r="AV54" s="6"/>
      <c r="AY54" s="3" t="s">
        <v>34</v>
      </c>
      <c r="BE54">
        <f t="shared" si="80"/>
        <v>1.4705882352941178</v>
      </c>
      <c r="BF54">
        <f t="shared" si="80"/>
        <v>6</v>
      </c>
      <c r="BG54">
        <f t="shared" si="80"/>
        <v>-0.5641025641025641</v>
      </c>
      <c r="BH54">
        <f t="shared" si="80"/>
        <v>1.2941176470588234</v>
      </c>
      <c r="BI54">
        <f t="shared" si="80"/>
        <v>0.54545454545454553</v>
      </c>
      <c r="BJ54">
        <f t="shared" si="80"/>
        <v>-0.35294117647058826</v>
      </c>
      <c r="BK54">
        <f t="shared" si="80"/>
        <v>0.4166666666666668</v>
      </c>
      <c r="BL54">
        <f t="shared" si="80"/>
        <v>0.87499999999999989</v>
      </c>
      <c r="BM54">
        <f t="shared" si="80"/>
        <v>1.3703703703703707</v>
      </c>
      <c r="BN54">
        <f t="shared" si="80"/>
        <v>-3.5714285714285747E-2</v>
      </c>
      <c r="BO54">
        <f t="shared" si="80"/>
        <v>0.47368421052631587</v>
      </c>
      <c r="BP54">
        <f t="shared" si="80"/>
        <v>-0.17391304347826086</v>
      </c>
      <c r="BQ54">
        <f t="shared" si="80"/>
        <v>-4.1666666666666706E-2</v>
      </c>
      <c r="BR54">
        <f t="shared" si="80"/>
        <v>1.1818181818181821</v>
      </c>
      <c r="BS54" t="e">
        <f t="shared" si="80"/>
        <v>#DIV/0!</v>
      </c>
    </row>
    <row r="55" spans="1:73" x14ac:dyDescent="0.2">
      <c r="A55" s="6"/>
      <c r="B55" s="6"/>
      <c r="C55" s="21"/>
      <c r="D55" s="48" t="s">
        <v>18</v>
      </c>
      <c r="E55" s="30"/>
      <c r="F55" s="48">
        <f>VLOOKUP(AY55,'12QData'!$A$5:$W$218,2,FALSE)</f>
        <v>2.92</v>
      </c>
      <c r="G55" s="52"/>
      <c r="H55" s="48">
        <f>VLOOKUP($D55,HData!$A$2:$AE$219,H$3,FALSE)</f>
        <v>2.48</v>
      </c>
      <c r="I55" s="48">
        <f>VLOOKUP($D55,HData!$A$2:$AE$219,I$3,FALSE)</f>
        <v>1.0900000000000001</v>
      </c>
      <c r="J55" s="48">
        <f>VLOOKUP($D55,HData!$A$2:$AE$219,J$3,FALSE)</f>
        <v>0.153</v>
      </c>
      <c r="K55" s="48">
        <f>VLOOKUP($D55,HData!$A$2:$AE$219,K$3,FALSE)</f>
        <v>0.32600000000000001</v>
      </c>
      <c r="L55" s="48">
        <f>VLOOKUP($D55,HData!$A$2:$AE$219,L$3,FALSE)</f>
        <v>0.19</v>
      </c>
      <c r="M55" s="48">
        <f>VLOOKUP($D55,HData!$A$2:$AE$219,M$3,FALSE)</f>
        <v>0.17499999999999999</v>
      </c>
      <c r="N55" s="48">
        <f>VLOOKUP($D55,HData!$A$2:$AE$219,N$3,FALSE)</f>
        <v>0.129</v>
      </c>
      <c r="O55" s="48">
        <f>VLOOKUP($D55,HData!$A$2:$AE$219,O$3,FALSE)</f>
        <v>0.121</v>
      </c>
      <c r="P55" s="48">
        <f>VLOOKUP($D55,HData!$A$2:$AE$219,P$3,FALSE)</f>
        <v>6.9000000000000006E-2</v>
      </c>
      <c r="Q55" s="48">
        <f>VLOOKUP($D55,HData!$A$2:$AE$219,Q$3,FALSE)</f>
        <v>0.05</v>
      </c>
      <c r="R55" s="48">
        <f>VLOOKUP($D55,HData!$A$2:$AE$219,R$3,FALSE)</f>
        <v>3.5000000000000003E-2</v>
      </c>
      <c r="S55" s="48">
        <f>VLOOKUP($D55,HData!$A$2:$AE$219,S$3,FALSE)</f>
        <v>2.5000000000000001E-2</v>
      </c>
      <c r="T55" s="48">
        <f>VLOOKUP($D55,HData!$A$2:$AE$219,T$3,FALSE)</f>
        <v>2.5999999999999999E-2</v>
      </c>
      <c r="U55" s="48">
        <f>VLOOKUP($D55,HData!$A$2:$AE$219,U$3,FALSE)</f>
        <v>3.2000000000000001E-2</v>
      </c>
      <c r="V55" s="48">
        <f>VLOOKUP($D55,HData!$A$2:$AE$219,V$3,FALSE)</f>
        <v>2.5000000000000001E-2</v>
      </c>
      <c r="W55" s="6"/>
      <c r="X55" s="58">
        <f>AVERAGE(BE55:BI55)</f>
        <v>1.5340482554213684</v>
      </c>
      <c r="Y55" s="58">
        <f>(H55-I55)/I55</f>
        <v>1.275229357798165</v>
      </c>
      <c r="Z55" s="58">
        <f>(H55-L55)/L55</f>
        <v>12.052631578947368</v>
      </c>
      <c r="AA55" s="58">
        <f>(H55-Q55)/Q55</f>
        <v>48.6</v>
      </c>
      <c r="AB55" s="6"/>
      <c r="AC55" s="6"/>
      <c r="AD55" s="6"/>
      <c r="AE55" s="6"/>
      <c r="AF55" s="6"/>
      <c r="AG55" s="6"/>
      <c r="AH55" s="6"/>
      <c r="AI55" s="6"/>
      <c r="AJ55" s="6"/>
      <c r="AK55" s="6"/>
      <c r="AL55" s="6"/>
      <c r="AM55" s="6"/>
      <c r="AN55" s="6"/>
      <c r="AO55" s="6"/>
      <c r="AP55" s="6"/>
      <c r="AQ55" s="6"/>
      <c r="AR55" s="6"/>
      <c r="AS55" s="6"/>
      <c r="AT55" s="6"/>
      <c r="AU55" s="6"/>
      <c r="AV55" s="6"/>
      <c r="AY55" s="66" t="s">
        <v>18</v>
      </c>
      <c r="BE55">
        <f t="shared" si="80"/>
        <v>1.275229357798165</v>
      </c>
      <c r="BF55">
        <f t="shared" si="80"/>
        <v>6.1241830065359482</v>
      </c>
      <c r="BG55">
        <f t="shared" si="80"/>
        <v>-0.53067484662576692</v>
      </c>
      <c r="BH55">
        <f t="shared" si="80"/>
        <v>0.71578947368421053</v>
      </c>
      <c r="BI55">
        <f t="shared" si="80"/>
        <v>8.5714285714285798E-2</v>
      </c>
      <c r="BJ55">
        <f t="shared" si="80"/>
        <v>0.35658914728682156</v>
      </c>
      <c r="BK55">
        <f t="shared" si="80"/>
        <v>6.61157024793389E-2</v>
      </c>
      <c r="BL55">
        <f t="shared" si="80"/>
        <v>0.7536231884057969</v>
      </c>
      <c r="BM55">
        <f t="shared" si="80"/>
        <v>0.38000000000000006</v>
      </c>
      <c r="BN55">
        <f t="shared" si="80"/>
        <v>0.42857142857142849</v>
      </c>
      <c r="BO55">
        <f t="shared" si="80"/>
        <v>0.40000000000000008</v>
      </c>
      <c r="BP55">
        <f t="shared" si="80"/>
        <v>-3.8461538461538367E-2</v>
      </c>
      <c r="BQ55">
        <f t="shared" si="80"/>
        <v>-0.18750000000000006</v>
      </c>
      <c r="BR55">
        <f t="shared" si="80"/>
        <v>0.27999999999999997</v>
      </c>
      <c r="BS55" t="e">
        <f t="shared" si="80"/>
        <v>#DIV/0!</v>
      </c>
    </row>
    <row r="56" spans="1:73" x14ac:dyDescent="0.2">
      <c r="A56" s="6"/>
      <c r="B56" s="6"/>
      <c r="C56" s="6"/>
      <c r="D56" s="48" t="s">
        <v>16</v>
      </c>
      <c r="E56" s="44"/>
      <c r="F56" s="48">
        <f>VLOOKUP(AY56,'12QData'!$A$5:$W$218,2,FALSE)</f>
        <v>4.1100000000000003</v>
      </c>
      <c r="G56" s="52"/>
      <c r="H56" s="48">
        <f>VLOOKUP($D56,HData!$A$2:$AE$219,H$3,FALSE)</f>
        <v>4.24</v>
      </c>
      <c r="I56" s="48">
        <f>VLOOKUP($D56,HData!$A$2:$AE$219,I$3,FALSE)</f>
        <v>3.23</v>
      </c>
      <c r="J56" s="48">
        <f>VLOOKUP($D56,HData!$A$2:$AE$219,J$3,FALSE)</f>
        <v>1.74</v>
      </c>
      <c r="K56" s="48">
        <f>VLOOKUP($D56,HData!$A$2:$AE$219,K$3,FALSE)</f>
        <v>0.88900000000000001</v>
      </c>
      <c r="L56" s="48">
        <f>VLOOKUP($D56,HData!$A$2:$AE$219,L$3,FALSE)</f>
        <v>1.07</v>
      </c>
      <c r="M56" s="48">
        <f>VLOOKUP($D56,HData!$A$2:$AE$219,M$3,FALSE)</f>
        <v>0.68400000000000005</v>
      </c>
      <c r="N56" s="48">
        <f>VLOOKUP($D56,HData!$A$2:$AE$219,N$3,FALSE)</f>
        <v>0.501</v>
      </c>
      <c r="O56" s="48">
        <f>VLOOKUP($D56,HData!$A$2:$AE$219,O$3,FALSE)</f>
        <v>0.38400000000000001</v>
      </c>
      <c r="P56" s="48">
        <f>VLOOKUP($D56,HData!$A$2:$AE$219,P$3,FALSE)</f>
        <v>0.312</v>
      </c>
      <c r="Q56" s="48">
        <f>VLOOKUP($D56,HData!$A$2:$AE$219,Q$3,FALSE)</f>
        <v>0.26600000000000001</v>
      </c>
      <c r="R56" s="48">
        <f>VLOOKUP($D56,HData!$A$2:$AE$219,R$3,FALSE)</f>
        <v>0.20599999999999999</v>
      </c>
      <c r="S56" s="48">
        <f>VLOOKUP($D56,HData!$A$2:$AE$219,S$3,FALSE)</f>
        <v>0.2</v>
      </c>
      <c r="T56" s="48">
        <f>VLOOKUP($D56,HData!$A$2:$AE$219,T$3,FALSE)</f>
        <v>0.19</v>
      </c>
      <c r="U56" s="48">
        <f>VLOOKUP($D56,HData!$A$2:$AE$219,U$3,FALSE)</f>
        <v>0.19500000000000001</v>
      </c>
      <c r="V56" s="48">
        <f>VLOOKUP($D56,HData!$A$2:$AE$219,V$3,FALSE)</f>
        <v>0.17199999999999999</v>
      </c>
      <c r="W56" s="6"/>
      <c r="X56" s="58">
        <f>AVERAGE(BE56:BI56)</f>
        <v>0.5042878574980062</v>
      </c>
      <c r="Y56" s="58">
        <f>(H56-I56)/I56</f>
        <v>0.31269349845201244</v>
      </c>
      <c r="Z56" s="58">
        <f>(H56-L56)/L56</f>
        <v>2.9626168224299061</v>
      </c>
      <c r="AA56" s="58">
        <f>(H56-Q56)/Q56</f>
        <v>14.93984962406015</v>
      </c>
      <c r="AB56" s="6"/>
      <c r="AC56" s="6"/>
      <c r="AD56" s="6"/>
      <c r="AE56" s="6"/>
      <c r="AF56" s="6"/>
      <c r="AG56" s="6"/>
      <c r="AH56" s="6"/>
      <c r="AI56" s="6"/>
      <c r="AJ56" s="6"/>
      <c r="AK56" s="6"/>
      <c r="AL56" s="6"/>
      <c r="AM56" s="6"/>
      <c r="AN56" s="6"/>
      <c r="AO56" s="6"/>
      <c r="AP56" s="6"/>
      <c r="AQ56" s="6"/>
      <c r="AR56" s="6"/>
      <c r="AS56" s="6"/>
      <c r="AT56" s="6"/>
      <c r="AU56" s="6"/>
      <c r="AV56" s="6"/>
      <c r="AY56" s="48" t="s">
        <v>16</v>
      </c>
      <c r="BC56" s="66"/>
      <c r="BE56">
        <f t="shared" si="80"/>
        <v>0.31269349845201244</v>
      </c>
      <c r="BF56">
        <f t="shared" si="80"/>
        <v>0.85632183908045978</v>
      </c>
      <c r="BG56">
        <f t="shared" si="80"/>
        <v>0.95725534308211468</v>
      </c>
      <c r="BH56">
        <f t="shared" si="80"/>
        <v>-0.16915887850467293</v>
      </c>
      <c r="BI56">
        <f t="shared" si="80"/>
        <v>0.5643274853801169</v>
      </c>
      <c r="BJ56">
        <f t="shared" si="80"/>
        <v>0.36526946107784442</v>
      </c>
      <c r="BK56">
        <f t="shared" si="80"/>
        <v>0.3046875</v>
      </c>
      <c r="BL56">
        <f t="shared" si="80"/>
        <v>0.23076923076923081</v>
      </c>
      <c r="BM56">
        <f t="shared" si="80"/>
        <v>0.1729323308270676</v>
      </c>
      <c r="BN56">
        <f t="shared" si="80"/>
        <v>0.29126213592233025</v>
      </c>
      <c r="BO56">
        <f t="shared" si="80"/>
        <v>2.9999999999999888E-2</v>
      </c>
      <c r="BP56">
        <f t="shared" si="80"/>
        <v>5.2631578947368467E-2</v>
      </c>
      <c r="BQ56">
        <f t="shared" si="80"/>
        <v>-2.5641025641025664E-2</v>
      </c>
      <c r="BR56">
        <f t="shared" si="80"/>
        <v>0.13372093023255827</v>
      </c>
      <c r="BS56" t="e">
        <f t="shared" si="80"/>
        <v>#DIV/0!</v>
      </c>
    </row>
    <row r="57" spans="1:73" x14ac:dyDescent="0.2">
      <c r="A57" s="6"/>
      <c r="B57" s="6"/>
      <c r="C57" s="6"/>
      <c r="D57" s="39" t="s">
        <v>234</v>
      </c>
      <c r="E57" s="44"/>
      <c r="F57" s="48"/>
      <c r="G57" s="52"/>
      <c r="H57" s="48">
        <f>VLOOKUP($D57,HData!$A$2:$AE$219,H$3,FALSE)</f>
        <v>24555</v>
      </c>
      <c r="I57" s="48">
        <f>VLOOKUP($D57,HData!$A$2:$AE$219,I$3,FALSE)</f>
        <v>24690</v>
      </c>
      <c r="J57" s="48">
        <f>VLOOKUP($D57,HData!$A$2:$AE$219,J$3,FALSE)</f>
        <v>24870</v>
      </c>
      <c r="K57" s="48">
        <f>VLOOKUP($D57,HData!$A$2:$AE$219,K$3,FALSE)</f>
        <v>24960</v>
      </c>
      <c r="L57" s="48">
        <f>VLOOKUP($D57,HData!$A$2:$AE$219,L$3,FALSE)</f>
        <v>24680</v>
      </c>
      <c r="M57" s="48">
        <f>VLOOKUP($D57,HData!$A$2:$AE$219,M$3,FALSE)</f>
        <v>24360</v>
      </c>
      <c r="N57" s="48">
        <f>VLOOKUP($D57,HData!$A$2:$AE$219,N$3,FALSE)</f>
        <v>24320</v>
      </c>
      <c r="O57" s="48">
        <f>VLOOKUP($D57,HData!$A$2:$AE$219,O$3,FALSE)</f>
        <v>23960</v>
      </c>
      <c r="P57" s="48">
        <f>VLOOKUP($D57,HData!$A$2:$AE$219,P$3,FALSE)</f>
        <v>21640</v>
      </c>
      <c r="Q57" s="48">
        <f>VLOOKUP($D57,HData!$A$2:$AE$219,Q$3,FALSE)</f>
        <v>21720</v>
      </c>
      <c r="R57" s="48">
        <f>VLOOKUP($D57,HData!$A$2:$AE$219,R$3,FALSE)</f>
        <v>22093</v>
      </c>
      <c r="S57" s="48">
        <f>VLOOKUP($D57,HData!$A$2:$AE$219,S$3,FALSE)</f>
        <v>23516</v>
      </c>
      <c r="T57" s="48">
        <f>VLOOKUP($D57,HData!$A$2:$AE$219,T$3,FALSE)</f>
        <v>24773</v>
      </c>
      <c r="U57" s="48">
        <f>VLOOKUP($D57,HData!$A$2:$AE$219,U$3,FALSE)</f>
        <v>24146</v>
      </c>
      <c r="V57" s="48">
        <f>VLOOKUP($D57,HData!$A$2:$AE$219,V$3,FALSE)</f>
        <v>23007</v>
      </c>
      <c r="W57" s="6"/>
      <c r="X57" s="58"/>
      <c r="Y57" s="58"/>
      <c r="Z57" s="58"/>
      <c r="AA57" s="58"/>
      <c r="AB57" s="6"/>
      <c r="AC57" s="6"/>
      <c r="AD57" s="6"/>
      <c r="AE57" s="6"/>
      <c r="AF57" s="6"/>
      <c r="AG57" s="6"/>
      <c r="AH57" s="6"/>
      <c r="AI57" s="6"/>
      <c r="AJ57" s="6"/>
      <c r="AK57" s="6"/>
      <c r="AL57" s="6"/>
      <c r="AM57" s="6"/>
      <c r="AN57" s="6"/>
      <c r="AO57" s="6"/>
      <c r="AP57" s="6"/>
      <c r="AQ57" s="6"/>
      <c r="AR57" s="6"/>
      <c r="AS57" s="6"/>
      <c r="AT57" s="6"/>
      <c r="AU57" s="6"/>
      <c r="AV57" s="6"/>
      <c r="AY57" s="48"/>
      <c r="BC57" s="66"/>
    </row>
    <row r="58" spans="1:73" x14ac:dyDescent="0.2">
      <c r="A58" s="6"/>
      <c r="B58" s="6"/>
      <c r="C58" s="24"/>
      <c r="D58" s="39" t="s">
        <v>368</v>
      </c>
      <c r="E58" s="6"/>
      <c r="F58" s="55">
        <f>Statistics!B99</f>
        <v>2.0000000000000001E-4</v>
      </c>
      <c r="G58" s="6"/>
      <c r="H58" s="55">
        <f>VLOOKUP($D58,HData!$A$2:$AE$219,H$3,FALSE)</f>
        <v>2.7999999999999998E-4</v>
      </c>
      <c r="I58" s="55">
        <f>VLOOKUP($D58,HData!$A$2:$AE$219,I$3,FALSE)</f>
        <v>2.5999999999999998E-4</v>
      </c>
      <c r="J58" s="55">
        <f>VLOOKUP($D58,HData!$A$2:$AE$219,J$3,FALSE)</f>
        <v>8.1999999999999998E-4</v>
      </c>
      <c r="K58" s="55">
        <f>VLOOKUP($D58,HData!$A$2:$AE$219,K$3,FALSE)</f>
        <v>6.4999999999999997E-4</v>
      </c>
      <c r="L58" s="55">
        <f>VLOOKUP($D58,HData!$A$2:$AE$219,L$3,FALSE)</f>
        <v>1.2099999999999999E-3</v>
      </c>
      <c r="M58" s="55">
        <f>VLOOKUP($D58,HData!$A$2:$AE$219,M$3,FALSE)</f>
        <v>2.7100000000000002E-3</v>
      </c>
      <c r="N58" s="55">
        <f>VLOOKUP($D58,HData!$A$2:$AE$219,N$3,FALSE)</f>
        <v>4.2500000000000003E-3</v>
      </c>
      <c r="O58" s="55">
        <f>VLOOKUP($D58,HData!$A$2:$AE$219,O$3,FALSE)</f>
        <v>2.31E-3</v>
      </c>
      <c r="P58" s="55">
        <f>VLOOKUP($D58,HData!$A$2:$AE$219,P$3,FALSE)</f>
        <v>4.4200000000000003E-3</v>
      </c>
      <c r="Q58" s="48">
        <f>VLOOKUP($D58,HData!$A$2:$AE$219,Q$3,FALSE)</f>
        <v>1.34E-2</v>
      </c>
      <c r="R58" s="48">
        <f>VLOOKUP($D58,HData!$A$2:$AE$219,R$3,FALSE)</f>
        <v>1.7500000000000002E-2</v>
      </c>
      <c r="S58" s="48">
        <f>VLOOKUP($D58,HData!$A$2:$AE$219,S$3,FALSE)</f>
        <v>1.9599999999999999E-2</v>
      </c>
      <c r="T58" s="48">
        <f>VLOOKUP($D58,HData!$A$2:$AE$219,T$3,FALSE)</f>
        <v>6.1700000000000001E-3</v>
      </c>
      <c r="U58" s="48">
        <f>VLOOKUP($D58,HData!$A$2:$AE$219,U$3,FALSE)</f>
        <v>0</v>
      </c>
      <c r="V58" s="48">
        <f>VLOOKUP($D58,HData!$A$2:$AE$219,V$3,FALSE)</f>
        <v>0</v>
      </c>
      <c r="W58" s="6"/>
      <c r="X58" s="47"/>
      <c r="Y58" s="47"/>
      <c r="Z58" s="47"/>
      <c r="AB58" s="6"/>
      <c r="AC58" s="6"/>
      <c r="AD58" s="6"/>
      <c r="AE58" s="6"/>
      <c r="AF58" s="6"/>
      <c r="AG58" s="6"/>
      <c r="AH58" s="6"/>
      <c r="AI58" s="6"/>
      <c r="AJ58" s="6"/>
      <c r="AK58" s="6"/>
      <c r="AL58" s="6"/>
      <c r="AM58" s="6"/>
      <c r="AN58" s="6"/>
      <c r="AO58" s="6"/>
      <c r="AP58" s="6"/>
      <c r="AQ58" s="6"/>
      <c r="AR58" s="6"/>
      <c r="AS58" s="6"/>
      <c r="AT58" s="6"/>
      <c r="AU58" s="6"/>
      <c r="AV58" s="6"/>
      <c r="AY58" s="3" t="s">
        <v>35</v>
      </c>
      <c r="BC58" s="3" t="s">
        <v>131</v>
      </c>
    </row>
    <row r="59" spans="1:73" x14ac:dyDescent="0.2">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row>
    <row r="60" spans="1:73" x14ac:dyDescent="0.2">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row>
    <row r="61" spans="1:73" x14ac:dyDescent="0.2">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row>
    <row r="62" spans="1:73" x14ac:dyDescent="0.2">
      <c r="A62" s="6"/>
      <c r="B62" s="6"/>
      <c r="C62" s="6"/>
      <c r="D62" s="6"/>
      <c r="E62" s="6"/>
      <c r="F62" s="6"/>
      <c r="G62" s="6"/>
      <c r="H62" s="6"/>
      <c r="I62" s="6"/>
      <c r="J62" s="6"/>
      <c r="K62" s="6"/>
      <c r="L62" s="6"/>
      <c r="M62" s="6"/>
      <c r="N62" s="6"/>
      <c r="O62" s="6"/>
      <c r="P62" s="6"/>
      <c r="Q62" s="6"/>
      <c r="R62" s="6"/>
      <c r="S62" s="6"/>
      <c r="T62" s="6"/>
      <c r="U62" s="6"/>
      <c r="V62" s="6"/>
      <c r="W62" s="6"/>
      <c r="X62" s="59"/>
      <c r="Y62" s="59"/>
      <c r="Z62" s="59"/>
      <c r="AA62" s="6"/>
      <c r="AB62" s="6"/>
      <c r="AC62" s="6"/>
      <c r="AD62" s="6"/>
      <c r="AE62" s="6"/>
      <c r="AF62" s="6"/>
      <c r="AG62" s="6"/>
      <c r="AH62" s="6"/>
      <c r="AI62" s="6"/>
      <c r="AJ62" s="6"/>
      <c r="AK62" s="6"/>
      <c r="AL62" s="6"/>
      <c r="AM62" s="6"/>
      <c r="AN62" s="6"/>
      <c r="AO62" s="6"/>
      <c r="AP62" s="6"/>
      <c r="AQ62" s="6"/>
      <c r="AR62" s="6"/>
      <c r="AS62" s="6"/>
      <c r="AT62" s="6"/>
      <c r="AU62" s="6"/>
      <c r="AV62" s="6"/>
    </row>
    <row r="63" spans="1:73" x14ac:dyDescent="0.2">
      <c r="A63" s="6"/>
      <c r="B63" s="6"/>
      <c r="C63" s="24"/>
      <c r="D63" s="6"/>
      <c r="E63" s="6"/>
      <c r="F63" s="6"/>
      <c r="G63" s="6"/>
      <c r="H63" s="6"/>
      <c r="I63" s="6"/>
      <c r="J63" s="6"/>
      <c r="K63" s="6"/>
      <c r="L63" s="6"/>
      <c r="M63" s="6"/>
      <c r="N63" s="6"/>
      <c r="O63" s="6"/>
      <c r="P63" s="6"/>
      <c r="Q63" s="6"/>
      <c r="R63" s="6"/>
      <c r="S63" s="6"/>
      <c r="T63" s="6"/>
      <c r="U63" s="6"/>
      <c r="V63" s="6"/>
      <c r="W63" s="6"/>
      <c r="X63" s="59"/>
      <c r="Y63" s="59"/>
      <c r="Z63" s="59"/>
      <c r="AA63" s="6"/>
      <c r="AB63" s="6"/>
      <c r="AC63" s="6"/>
      <c r="AD63" s="6"/>
      <c r="AE63" s="6"/>
      <c r="AF63" s="6"/>
      <c r="AG63" s="6"/>
      <c r="AH63" s="6"/>
      <c r="AI63" s="6"/>
      <c r="AJ63" s="6"/>
      <c r="AK63" s="6"/>
      <c r="AL63" s="6"/>
      <c r="AM63" s="6"/>
      <c r="AN63" s="6"/>
      <c r="AO63" s="6"/>
      <c r="AP63" s="6"/>
      <c r="AQ63" s="6"/>
      <c r="AR63" s="6"/>
      <c r="AS63" s="6"/>
      <c r="AT63" s="6"/>
      <c r="AU63" s="6"/>
      <c r="AV63" s="6"/>
    </row>
    <row r="64" spans="1:73" x14ac:dyDescent="0.2">
      <c r="A64" s="6"/>
      <c r="B64" s="6"/>
      <c r="C64" s="24"/>
      <c r="D64" s="24"/>
      <c r="E64" s="24"/>
      <c r="F64" s="24"/>
      <c r="G64" s="6"/>
      <c r="H64" s="6"/>
      <c r="I64" s="6"/>
      <c r="J64" s="6"/>
      <c r="K64" s="6"/>
      <c r="L64" s="6"/>
      <c r="M64" s="6"/>
      <c r="N64" s="6"/>
      <c r="O64" s="6"/>
      <c r="P64" s="6"/>
      <c r="Q64" s="6"/>
      <c r="R64" s="6"/>
      <c r="S64" s="6"/>
      <c r="T64" s="6"/>
      <c r="U64" s="6"/>
      <c r="V64" s="6"/>
      <c r="W64" s="6"/>
      <c r="X64" s="59"/>
      <c r="Y64" s="59"/>
      <c r="Z64" s="59"/>
      <c r="AA64" s="6"/>
      <c r="AB64" s="6"/>
      <c r="AC64" s="6"/>
      <c r="AD64" s="6"/>
      <c r="AE64" s="6"/>
      <c r="AF64" s="6"/>
      <c r="AG64" s="6"/>
      <c r="AH64" s="6"/>
      <c r="AI64" s="6"/>
      <c r="AJ64" s="6"/>
      <c r="AK64" s="6"/>
      <c r="AL64" s="6"/>
      <c r="AM64" s="6"/>
      <c r="AN64" s="6"/>
      <c r="AO64" s="6"/>
      <c r="AP64" s="6"/>
      <c r="AQ64" s="6"/>
      <c r="AR64" s="6"/>
      <c r="AS64" s="6"/>
      <c r="AT64" s="6"/>
      <c r="AU64" s="6"/>
      <c r="AV64" s="6"/>
    </row>
    <row r="65" spans="1:48" x14ac:dyDescent="0.2">
      <c r="A65" s="6"/>
      <c r="B65" s="6"/>
      <c r="C65" s="24"/>
      <c r="D65" s="24"/>
      <c r="E65" s="24"/>
      <c r="F65" s="24"/>
      <c r="G65" s="6"/>
      <c r="H65" s="6"/>
      <c r="I65" s="6"/>
      <c r="J65" s="6"/>
      <c r="K65" s="6"/>
      <c r="L65" s="6"/>
      <c r="M65" s="6"/>
      <c r="N65" s="6"/>
      <c r="O65" s="6"/>
      <c r="P65" s="6"/>
      <c r="Q65" s="6"/>
      <c r="R65" s="6"/>
      <c r="S65" s="6"/>
      <c r="T65" s="6"/>
      <c r="U65" s="6"/>
      <c r="V65" s="6"/>
      <c r="W65" s="6"/>
      <c r="X65" s="59"/>
      <c r="Y65" s="59"/>
      <c r="Z65" s="59"/>
      <c r="AA65" s="6"/>
      <c r="AB65" s="6"/>
      <c r="AC65" s="6"/>
      <c r="AD65" s="6"/>
      <c r="AE65" s="6"/>
      <c r="AF65" s="6"/>
      <c r="AG65" s="6"/>
      <c r="AH65" s="6"/>
      <c r="AI65" s="6"/>
      <c r="AJ65" s="6"/>
      <c r="AK65" s="6"/>
      <c r="AL65" s="6"/>
      <c r="AM65" s="6"/>
      <c r="AN65" s="6"/>
      <c r="AO65" s="6"/>
      <c r="AP65" s="6"/>
      <c r="AQ65" s="6"/>
      <c r="AR65" s="6"/>
      <c r="AS65" s="6"/>
      <c r="AT65" s="6"/>
      <c r="AU65" s="6"/>
      <c r="AV65" s="6"/>
    </row>
    <row r="66" spans="1:48" x14ac:dyDescent="0.2">
      <c r="A66" s="6"/>
      <c r="B66" s="6"/>
      <c r="C66" s="6"/>
      <c r="D66" s="24"/>
      <c r="E66" s="24"/>
      <c r="F66" s="24"/>
      <c r="G66" s="6"/>
      <c r="H66" s="6"/>
      <c r="I66" s="6"/>
      <c r="J66" s="6"/>
      <c r="K66" s="6"/>
      <c r="L66" s="6"/>
      <c r="M66" s="6"/>
      <c r="N66" s="6"/>
      <c r="O66" s="6"/>
      <c r="P66" s="6"/>
      <c r="Q66" s="6"/>
      <c r="R66" s="6"/>
      <c r="S66" s="6"/>
      <c r="T66" s="6"/>
      <c r="U66" s="6"/>
      <c r="V66" s="6"/>
      <c r="W66" s="6"/>
      <c r="X66" s="59"/>
      <c r="Y66" s="59"/>
      <c r="Z66" s="59"/>
      <c r="AA66" s="6"/>
      <c r="AB66" s="6"/>
      <c r="AC66" s="6"/>
      <c r="AD66" s="6"/>
      <c r="AE66" s="6"/>
      <c r="AF66" s="6"/>
      <c r="AG66" s="6"/>
      <c r="AH66" s="6"/>
      <c r="AI66" s="6"/>
      <c r="AJ66" s="6"/>
      <c r="AK66" s="6"/>
      <c r="AL66" s="6"/>
      <c r="AM66" s="6"/>
      <c r="AN66" s="6"/>
      <c r="AO66" s="6"/>
      <c r="AP66" s="6"/>
      <c r="AQ66" s="6"/>
      <c r="AR66" s="6"/>
      <c r="AS66" s="6"/>
      <c r="AT66" s="6"/>
      <c r="AU66" s="6"/>
      <c r="AV66" s="6"/>
    </row>
    <row r="67" spans="1:48" x14ac:dyDescent="0.2">
      <c r="A67" s="6"/>
      <c r="B67" s="6"/>
      <c r="C67" s="6"/>
      <c r="D67" s="6"/>
      <c r="E67" s="6"/>
      <c r="F67" s="6"/>
      <c r="G67" s="6"/>
      <c r="H67" s="6"/>
      <c r="I67" s="6"/>
      <c r="J67" s="6"/>
      <c r="K67" s="6"/>
      <c r="L67" s="6"/>
      <c r="M67" s="6"/>
      <c r="N67" s="6"/>
      <c r="O67" s="6"/>
      <c r="P67" s="6"/>
      <c r="Q67" s="6"/>
      <c r="R67" s="6"/>
      <c r="S67" s="6"/>
      <c r="T67" s="6"/>
      <c r="U67" s="6"/>
      <c r="V67" s="6"/>
      <c r="W67" s="6"/>
      <c r="X67" s="59"/>
      <c r="Y67" s="59"/>
      <c r="Z67" s="59"/>
      <c r="AA67" s="6"/>
      <c r="AB67" s="6"/>
      <c r="AC67" s="6"/>
      <c r="AD67" s="6"/>
      <c r="AE67" s="6"/>
      <c r="AF67" s="6"/>
      <c r="AG67" s="6"/>
      <c r="AH67" s="6"/>
      <c r="AI67" s="6"/>
      <c r="AJ67" s="6"/>
      <c r="AK67" s="6"/>
      <c r="AL67" s="6"/>
      <c r="AM67" s="6"/>
      <c r="AN67" s="6"/>
      <c r="AO67" s="6"/>
      <c r="AP67" s="6"/>
      <c r="AQ67" s="6"/>
      <c r="AR67" s="6"/>
      <c r="AS67" s="6"/>
      <c r="AT67" s="6"/>
      <c r="AU67" s="6"/>
      <c r="AV67" s="6"/>
    </row>
    <row r="68" spans="1:48" x14ac:dyDescent="0.2">
      <c r="A68" s="6"/>
      <c r="B68" s="6"/>
      <c r="C68" s="6"/>
      <c r="D68" s="6"/>
      <c r="E68" s="6"/>
      <c r="F68" s="6"/>
      <c r="G68" s="6"/>
      <c r="H68" s="6"/>
      <c r="I68" s="6"/>
      <c r="J68" s="6"/>
      <c r="K68" s="6"/>
      <c r="L68" s="6"/>
      <c r="M68" s="6"/>
      <c r="N68" s="6"/>
      <c r="O68" s="6"/>
      <c r="P68" s="6"/>
      <c r="Q68" s="6"/>
      <c r="R68" s="6"/>
      <c r="S68" s="6"/>
      <c r="T68" s="6"/>
      <c r="U68" s="6"/>
      <c r="V68" s="6"/>
      <c r="W68" s="6"/>
      <c r="X68" s="59"/>
      <c r="Y68" s="59"/>
      <c r="Z68" s="59"/>
      <c r="AA68" s="6"/>
      <c r="AB68" s="6"/>
      <c r="AC68" s="6"/>
      <c r="AD68" s="6"/>
      <c r="AE68" s="6"/>
      <c r="AF68" s="6"/>
      <c r="AG68" s="6"/>
      <c r="AH68" s="6"/>
      <c r="AI68" s="6"/>
      <c r="AJ68" s="6"/>
      <c r="AK68" s="6"/>
      <c r="AL68" s="6"/>
      <c r="AM68" s="6"/>
      <c r="AN68" s="6"/>
      <c r="AO68" s="6"/>
      <c r="AP68" s="6"/>
      <c r="AQ68" s="6"/>
      <c r="AR68" s="6"/>
      <c r="AS68" s="6"/>
      <c r="AT68" s="6"/>
      <c r="AU68" s="6"/>
      <c r="AV68" s="6"/>
    </row>
    <row r="69" spans="1:48" x14ac:dyDescent="0.2">
      <c r="A69" s="6"/>
      <c r="B69" s="6"/>
      <c r="C69" s="6"/>
      <c r="D69" s="24"/>
      <c r="E69" s="24"/>
      <c r="F69" s="24"/>
      <c r="G69" s="6"/>
      <c r="H69" s="6"/>
      <c r="I69" s="6"/>
      <c r="J69" s="6"/>
      <c r="K69" s="6"/>
      <c r="L69" s="6"/>
      <c r="M69" s="6"/>
      <c r="N69" s="6"/>
      <c r="O69" s="6"/>
      <c r="P69" s="6"/>
      <c r="Q69" s="6"/>
      <c r="R69" s="6"/>
      <c r="S69" s="6"/>
      <c r="T69" s="6"/>
      <c r="U69" s="6"/>
      <c r="V69" s="6"/>
      <c r="W69" s="6"/>
      <c r="X69" s="59"/>
      <c r="Y69" s="59"/>
      <c r="Z69" s="59"/>
      <c r="AA69" s="6"/>
      <c r="AB69" s="6"/>
      <c r="AC69" s="6"/>
      <c r="AD69" s="6"/>
      <c r="AE69" s="6"/>
      <c r="AF69" s="6"/>
      <c r="AG69" s="6"/>
      <c r="AH69" s="6"/>
      <c r="AI69" s="6"/>
      <c r="AJ69" s="6"/>
      <c r="AK69" s="6"/>
      <c r="AL69" s="6"/>
      <c r="AM69" s="6"/>
      <c r="AN69" s="6"/>
      <c r="AO69" s="6"/>
      <c r="AP69" s="6"/>
      <c r="AQ69" s="6"/>
      <c r="AR69" s="6"/>
      <c r="AS69" s="6"/>
      <c r="AT69" s="6"/>
      <c r="AU69" s="6"/>
      <c r="AV69" s="6"/>
    </row>
    <row r="70" spans="1:48" x14ac:dyDescent="0.2">
      <c r="A70" s="6"/>
      <c r="B70" s="6"/>
      <c r="C70" s="6"/>
      <c r="D70" s="24"/>
      <c r="E70" s="24"/>
      <c r="F70" s="24"/>
      <c r="G70" s="6"/>
      <c r="H70" s="6"/>
      <c r="I70" s="6"/>
      <c r="J70" s="6"/>
      <c r="K70" s="6"/>
      <c r="L70" s="6"/>
      <c r="M70" s="6"/>
      <c r="N70" s="6"/>
      <c r="O70" s="6"/>
      <c r="P70" s="6"/>
      <c r="Q70" s="6"/>
      <c r="R70" s="6"/>
      <c r="S70" s="6"/>
      <c r="T70" s="6"/>
      <c r="U70" s="6"/>
      <c r="V70" s="6"/>
      <c r="W70" s="6"/>
      <c r="X70" s="59"/>
      <c r="Y70" s="59"/>
      <c r="Z70" s="59"/>
      <c r="AA70" s="6"/>
      <c r="AB70" s="6"/>
      <c r="AC70" s="6"/>
      <c r="AD70" s="6"/>
      <c r="AE70" s="6"/>
      <c r="AF70" s="6"/>
      <c r="AG70" s="6"/>
      <c r="AH70" s="6"/>
      <c r="AI70" s="6"/>
      <c r="AJ70" s="6"/>
      <c r="AK70" s="6"/>
      <c r="AL70" s="6"/>
      <c r="AM70" s="6"/>
      <c r="AN70" s="6"/>
      <c r="AO70" s="6"/>
      <c r="AP70" s="6"/>
      <c r="AQ70" s="6"/>
      <c r="AR70" s="6"/>
      <c r="AS70" s="6"/>
      <c r="AT70" s="6"/>
      <c r="AU70" s="6"/>
      <c r="AV70" s="6"/>
    </row>
    <row r="71" spans="1:48" x14ac:dyDescent="0.2">
      <c r="A71" s="6"/>
      <c r="B71" s="6"/>
      <c r="C71" s="6"/>
      <c r="D71" s="24"/>
      <c r="E71" s="24"/>
      <c r="F71" s="24"/>
      <c r="G71" s="6"/>
      <c r="H71" s="6"/>
      <c r="I71" s="6"/>
      <c r="J71" s="6"/>
      <c r="K71" s="6"/>
      <c r="L71" s="6"/>
      <c r="M71" s="6"/>
      <c r="N71" s="6"/>
      <c r="O71" s="6"/>
      <c r="P71" s="6"/>
      <c r="Q71" s="6"/>
      <c r="R71" s="6"/>
      <c r="S71" s="6"/>
      <c r="T71" s="6"/>
      <c r="U71" s="6"/>
      <c r="V71" s="6"/>
      <c r="W71" s="6"/>
      <c r="X71" s="59"/>
      <c r="Y71" s="59"/>
      <c r="Z71" s="59"/>
      <c r="AA71" s="6"/>
      <c r="AB71" s="6"/>
      <c r="AC71" s="6"/>
      <c r="AD71" s="6"/>
      <c r="AE71" s="6"/>
      <c r="AF71" s="6"/>
      <c r="AG71" s="6"/>
      <c r="AH71" s="6"/>
      <c r="AI71" s="6"/>
      <c r="AJ71" s="6"/>
      <c r="AK71" s="6"/>
      <c r="AL71" s="6"/>
      <c r="AM71" s="6"/>
      <c r="AN71" s="6"/>
      <c r="AO71" s="6"/>
      <c r="AP71" s="6"/>
      <c r="AQ71" s="6"/>
      <c r="AR71" s="6"/>
      <c r="AS71" s="6"/>
      <c r="AT71" s="6"/>
      <c r="AU71" s="6"/>
      <c r="AV71" s="6"/>
    </row>
    <row r="72" spans="1:48" x14ac:dyDescent="0.2">
      <c r="A72" s="6"/>
      <c r="B72" s="6"/>
      <c r="C72" s="6"/>
      <c r="D72" s="6"/>
      <c r="E72" s="6"/>
      <c r="F72" s="6"/>
      <c r="G72" s="6"/>
      <c r="H72" s="6"/>
      <c r="I72" s="6"/>
      <c r="J72" s="6"/>
      <c r="K72" s="6"/>
      <c r="L72" s="6"/>
      <c r="M72" s="6"/>
      <c r="N72" s="6"/>
      <c r="O72" s="6"/>
      <c r="P72" s="6"/>
      <c r="Q72" s="6"/>
      <c r="R72" s="6"/>
      <c r="S72" s="6"/>
      <c r="T72" s="6"/>
      <c r="U72" s="6"/>
      <c r="V72" s="6"/>
      <c r="W72" s="6"/>
      <c r="X72" s="59"/>
      <c r="Y72" s="59"/>
      <c r="Z72" s="59"/>
      <c r="AA72" s="6"/>
      <c r="AB72" s="6"/>
      <c r="AC72" s="6"/>
      <c r="AD72" s="6"/>
      <c r="AE72" s="6"/>
      <c r="AF72" s="6"/>
      <c r="AG72" s="6"/>
      <c r="AH72" s="6"/>
      <c r="AI72" s="6"/>
      <c r="AJ72" s="6"/>
      <c r="AK72" s="6"/>
      <c r="AL72" s="6"/>
      <c r="AM72" s="6"/>
      <c r="AN72" s="6"/>
      <c r="AO72" s="6"/>
      <c r="AP72" s="6"/>
      <c r="AQ72" s="6"/>
      <c r="AR72" s="6"/>
      <c r="AS72" s="6"/>
      <c r="AT72" s="6"/>
      <c r="AU72" s="6"/>
      <c r="AV72" s="6"/>
    </row>
    <row r="73" spans="1:48" x14ac:dyDescent="0.2">
      <c r="A73" s="6"/>
      <c r="B73" s="6"/>
      <c r="C73" s="6"/>
      <c r="D73" s="6"/>
      <c r="E73" s="6"/>
      <c r="F73" s="6"/>
      <c r="G73" s="6"/>
      <c r="H73" s="6"/>
      <c r="I73" s="6"/>
      <c r="J73" s="6"/>
      <c r="K73" s="6"/>
      <c r="L73" s="6"/>
      <c r="M73" s="6"/>
      <c r="N73" s="6"/>
      <c r="O73" s="6"/>
      <c r="P73" s="6"/>
      <c r="Q73" s="6"/>
      <c r="R73" s="6"/>
      <c r="S73" s="6"/>
      <c r="T73" s="6"/>
      <c r="U73" s="6"/>
      <c r="V73" s="6"/>
      <c r="W73" s="6"/>
      <c r="X73" s="59"/>
      <c r="Y73" s="59"/>
      <c r="Z73" s="59"/>
      <c r="AA73" s="6"/>
      <c r="AB73" s="6"/>
      <c r="AC73" s="6"/>
      <c r="AD73" s="6"/>
      <c r="AE73" s="6"/>
      <c r="AF73" s="6"/>
      <c r="AG73" s="6"/>
      <c r="AH73" s="6"/>
      <c r="AI73" s="6"/>
      <c r="AJ73" s="6"/>
      <c r="AK73" s="6"/>
      <c r="AL73" s="6"/>
      <c r="AM73" s="6"/>
      <c r="AN73" s="6"/>
      <c r="AO73" s="6"/>
      <c r="AP73" s="6"/>
      <c r="AQ73" s="6"/>
      <c r="AR73" s="6"/>
      <c r="AS73" s="6"/>
      <c r="AT73" s="6"/>
      <c r="AU73" s="6"/>
      <c r="AV73" s="6"/>
    </row>
    <row r="74" spans="1:48" x14ac:dyDescent="0.2">
      <c r="A74" s="6"/>
      <c r="B74" s="6"/>
      <c r="C74" s="6"/>
      <c r="D74" s="6"/>
      <c r="E74" s="6"/>
      <c r="F74" s="6"/>
      <c r="G74" s="6"/>
      <c r="H74" s="6"/>
      <c r="I74" s="6"/>
      <c r="J74" s="6"/>
      <c r="K74" s="6"/>
      <c r="L74" s="6"/>
      <c r="M74" s="6"/>
      <c r="N74" s="6"/>
      <c r="O74" s="6"/>
      <c r="P74" s="6"/>
      <c r="Q74" s="6"/>
      <c r="R74" s="6"/>
      <c r="S74" s="6"/>
      <c r="T74" s="6"/>
      <c r="U74" s="6"/>
      <c r="V74" s="6"/>
      <c r="W74" s="6"/>
      <c r="X74" s="59"/>
      <c r="Y74" s="59"/>
      <c r="Z74" s="59"/>
      <c r="AA74" s="6"/>
      <c r="AB74" s="6"/>
      <c r="AC74" s="6"/>
      <c r="AD74" s="6"/>
      <c r="AE74" s="6"/>
      <c r="AF74" s="6"/>
      <c r="AG74" s="6"/>
      <c r="AH74" s="6"/>
      <c r="AI74" s="6"/>
      <c r="AJ74" s="6"/>
      <c r="AK74" s="6"/>
      <c r="AL74" s="6"/>
      <c r="AM74" s="6"/>
      <c r="AN74" s="6"/>
      <c r="AO74" s="6"/>
      <c r="AP74" s="6"/>
      <c r="AQ74" s="6"/>
      <c r="AR74" s="6"/>
      <c r="AS74" s="6"/>
      <c r="AT74" s="6"/>
      <c r="AU74" s="6"/>
      <c r="AV74" s="6"/>
    </row>
    <row r="75" spans="1:48" x14ac:dyDescent="0.2">
      <c r="A75" s="20"/>
      <c r="B75" s="6"/>
      <c r="C75" s="6"/>
      <c r="D75" s="6"/>
      <c r="E75" s="6"/>
      <c r="F75" s="6"/>
      <c r="G75" s="6"/>
      <c r="H75" s="6"/>
      <c r="I75" s="6"/>
      <c r="J75" s="6"/>
      <c r="K75" s="6"/>
      <c r="L75" s="6"/>
      <c r="M75" s="6"/>
      <c r="N75" s="6"/>
      <c r="O75" s="6"/>
      <c r="P75" s="6"/>
      <c r="Q75" s="6"/>
      <c r="R75" s="6"/>
      <c r="S75" s="6"/>
      <c r="T75" s="6"/>
      <c r="U75" s="6"/>
      <c r="V75" s="6"/>
      <c r="W75" s="6"/>
      <c r="X75" s="59"/>
      <c r="Y75" s="59"/>
      <c r="Z75" s="59"/>
      <c r="AA75" s="6"/>
      <c r="AB75" s="6"/>
      <c r="AC75" s="6"/>
      <c r="AD75" s="6"/>
      <c r="AE75" s="6"/>
      <c r="AF75" s="6"/>
      <c r="AG75" s="6"/>
      <c r="AH75" s="6"/>
      <c r="AI75" s="6"/>
      <c r="AJ75" s="6"/>
      <c r="AK75" s="6"/>
      <c r="AL75" s="6"/>
      <c r="AM75" s="6"/>
      <c r="AN75" s="6"/>
      <c r="AO75" s="6"/>
      <c r="AP75" s="6"/>
      <c r="AQ75" s="6"/>
      <c r="AR75" s="6"/>
      <c r="AS75" s="6"/>
      <c r="AT75" s="6"/>
      <c r="AU75" s="6"/>
      <c r="AV75" s="6"/>
    </row>
    <row r="76" spans="1:48" x14ac:dyDescent="0.2">
      <c r="A76" s="20"/>
      <c r="B76" s="6"/>
      <c r="C76" s="6"/>
      <c r="D76" s="6"/>
      <c r="E76" s="6"/>
      <c r="F76" s="6"/>
      <c r="G76" s="6"/>
      <c r="H76" s="6"/>
      <c r="I76" s="6"/>
      <c r="J76" s="6"/>
      <c r="K76" s="6"/>
      <c r="L76" s="6"/>
      <c r="M76" s="6"/>
      <c r="N76" s="6"/>
      <c r="O76" s="6"/>
      <c r="P76" s="6"/>
      <c r="Q76" s="6"/>
      <c r="R76" s="6"/>
      <c r="S76" s="6"/>
      <c r="T76" s="6"/>
      <c r="U76" s="6"/>
      <c r="V76" s="6"/>
      <c r="W76" s="6"/>
      <c r="X76" s="59"/>
      <c r="Y76" s="59"/>
      <c r="Z76" s="59"/>
      <c r="AA76" s="6"/>
      <c r="AB76" s="6"/>
      <c r="AC76" s="6"/>
      <c r="AD76" s="6"/>
      <c r="AE76" s="6"/>
      <c r="AF76" s="6"/>
      <c r="AG76" s="6"/>
      <c r="AH76" s="6"/>
      <c r="AI76" s="6"/>
      <c r="AJ76" s="6"/>
      <c r="AK76" s="6"/>
      <c r="AL76" s="6"/>
      <c r="AM76" s="6"/>
      <c r="AN76" s="6"/>
      <c r="AO76" s="6"/>
      <c r="AP76" s="6"/>
      <c r="AQ76" s="6"/>
      <c r="AR76" s="6"/>
      <c r="AS76" s="6"/>
      <c r="AT76" s="6"/>
      <c r="AU76" s="6"/>
      <c r="AV76" s="6"/>
    </row>
    <row r="77" spans="1:48" x14ac:dyDescent="0.2">
      <c r="A77" s="6"/>
      <c r="B77" s="6"/>
      <c r="C77" s="6"/>
      <c r="D77" s="6"/>
      <c r="E77" s="6"/>
      <c r="F77" s="6"/>
      <c r="G77" s="6"/>
      <c r="H77" s="6"/>
      <c r="I77" s="6"/>
      <c r="J77" s="6"/>
      <c r="K77" s="6"/>
      <c r="L77" s="6"/>
      <c r="M77" s="6"/>
      <c r="N77" s="6"/>
      <c r="O77" s="6"/>
      <c r="P77" s="6"/>
      <c r="Q77" s="6"/>
      <c r="R77" s="6"/>
      <c r="S77" s="6"/>
      <c r="T77" s="6"/>
      <c r="U77" s="6"/>
      <c r="V77" s="6"/>
      <c r="W77" s="6"/>
      <c r="X77" s="59"/>
      <c r="Y77" s="59"/>
      <c r="Z77" s="59"/>
      <c r="AA77" s="6"/>
      <c r="AB77" s="6"/>
      <c r="AC77" s="6"/>
      <c r="AD77" s="6"/>
      <c r="AE77" s="6"/>
      <c r="AF77" s="6"/>
      <c r="AG77" s="6"/>
      <c r="AH77" s="6"/>
      <c r="AI77" s="6"/>
      <c r="AJ77" s="6"/>
      <c r="AK77" s="6"/>
      <c r="AL77" s="6"/>
      <c r="AM77" s="6"/>
      <c r="AN77" s="6"/>
      <c r="AO77" s="6"/>
      <c r="AP77" s="6"/>
      <c r="AQ77" s="6"/>
      <c r="AR77" s="6"/>
      <c r="AS77" s="6"/>
      <c r="AT77" s="6"/>
      <c r="AU77" s="6"/>
      <c r="AV77" s="6"/>
    </row>
    <row r="78" spans="1:48" x14ac:dyDescent="0.2">
      <c r="A78" s="6"/>
      <c r="B78" s="6"/>
      <c r="C78" s="6"/>
      <c r="D78" s="6"/>
      <c r="E78" s="6"/>
      <c r="F78" s="6"/>
      <c r="G78" s="6"/>
      <c r="H78" s="6"/>
      <c r="I78" s="6"/>
      <c r="J78" s="6"/>
      <c r="K78" s="6"/>
      <c r="L78" s="6"/>
      <c r="M78" s="6"/>
      <c r="N78" s="6"/>
      <c r="O78" s="6"/>
      <c r="P78" s="6"/>
      <c r="Q78" s="6"/>
      <c r="R78" s="6"/>
      <c r="S78" s="6"/>
      <c r="T78" s="6"/>
      <c r="U78" s="6"/>
      <c r="V78" s="6"/>
      <c r="W78" s="6"/>
      <c r="X78" s="59"/>
      <c r="Y78" s="59"/>
      <c r="Z78" s="59"/>
      <c r="AA78" s="6"/>
      <c r="AB78" s="6"/>
      <c r="AC78" s="6"/>
      <c r="AD78" s="6"/>
      <c r="AE78" s="6"/>
      <c r="AF78" s="6"/>
      <c r="AG78" s="6"/>
      <c r="AH78" s="6"/>
      <c r="AI78" s="6"/>
      <c r="AJ78" s="6"/>
      <c r="AK78" s="6"/>
      <c r="AL78" s="6"/>
      <c r="AM78" s="6"/>
      <c r="AN78" s="6"/>
      <c r="AO78" s="6"/>
      <c r="AP78" s="6"/>
      <c r="AQ78" s="6"/>
      <c r="AR78" s="6"/>
      <c r="AS78" s="6"/>
      <c r="AT78" s="6"/>
      <c r="AU78" s="6"/>
      <c r="AV78" s="6"/>
    </row>
    <row r="79" spans="1:48" x14ac:dyDescent="0.2">
      <c r="A79" s="6"/>
      <c r="B79" s="6"/>
      <c r="C79" s="6"/>
      <c r="D79" s="6"/>
      <c r="E79" s="6"/>
      <c r="F79" s="6"/>
      <c r="G79" s="6"/>
      <c r="H79" s="6"/>
      <c r="I79" s="6"/>
      <c r="J79" s="6"/>
      <c r="K79" s="6"/>
      <c r="L79" s="6"/>
      <c r="M79" s="6"/>
      <c r="N79" s="6"/>
      <c r="O79" s="6"/>
      <c r="P79" s="6"/>
      <c r="Q79" s="6"/>
      <c r="R79" s="6"/>
      <c r="S79" s="6"/>
      <c r="T79" s="6"/>
      <c r="U79" s="6"/>
      <c r="V79" s="6"/>
      <c r="W79" s="6"/>
      <c r="X79" s="59"/>
      <c r="Y79" s="59"/>
      <c r="Z79" s="59"/>
      <c r="AA79" s="6"/>
      <c r="AB79" s="6"/>
      <c r="AC79" s="6"/>
      <c r="AD79" s="6"/>
      <c r="AE79" s="6"/>
      <c r="AF79" s="6"/>
      <c r="AG79" s="6"/>
      <c r="AH79" s="6"/>
      <c r="AI79" s="6"/>
      <c r="AJ79" s="6"/>
      <c r="AK79" s="6"/>
      <c r="AL79" s="6"/>
      <c r="AM79" s="6"/>
      <c r="AN79" s="6"/>
      <c r="AO79" s="6"/>
      <c r="AP79" s="6"/>
      <c r="AQ79" s="6"/>
      <c r="AR79" s="6"/>
      <c r="AS79" s="6"/>
      <c r="AT79" s="6"/>
      <c r="AU79" s="6"/>
      <c r="AV79" s="6"/>
    </row>
    <row r="80" spans="1:48" x14ac:dyDescent="0.2">
      <c r="A80" s="6"/>
      <c r="B80" s="6"/>
      <c r="C80" s="6"/>
      <c r="D80" s="6"/>
      <c r="E80" s="6"/>
      <c r="F80" s="6"/>
      <c r="G80" s="6"/>
      <c r="H80" s="6"/>
      <c r="I80" s="6"/>
      <c r="J80" s="6"/>
      <c r="K80" s="6"/>
      <c r="L80" s="6"/>
      <c r="M80" s="6"/>
      <c r="N80" s="6"/>
      <c r="O80" s="6"/>
      <c r="P80" s="6"/>
      <c r="Q80" s="6"/>
      <c r="R80" s="6"/>
      <c r="S80" s="6"/>
      <c r="T80" s="6"/>
      <c r="U80" s="6"/>
      <c r="V80" s="6"/>
      <c r="W80" s="6"/>
      <c r="X80" s="59"/>
      <c r="Y80" s="59"/>
      <c r="Z80" s="59"/>
      <c r="AA80" s="6"/>
      <c r="AB80" s="6"/>
      <c r="AC80" s="6"/>
      <c r="AD80" s="6"/>
      <c r="AE80" s="6"/>
      <c r="AF80" s="6"/>
      <c r="AG80" s="6"/>
      <c r="AH80" s="6"/>
      <c r="AI80" s="6"/>
      <c r="AJ80" s="6"/>
      <c r="AK80" s="6"/>
      <c r="AL80" s="6"/>
      <c r="AM80" s="6"/>
      <c r="AN80" s="6"/>
      <c r="AO80" s="6"/>
      <c r="AP80" s="6"/>
      <c r="AQ80" s="6"/>
      <c r="AR80" s="6"/>
      <c r="AS80" s="6"/>
      <c r="AT80" s="6"/>
      <c r="AU80" s="6"/>
      <c r="AV80" s="6"/>
    </row>
    <row r="81" spans="1:48" x14ac:dyDescent="0.2">
      <c r="A81" s="20"/>
      <c r="B81" s="6"/>
      <c r="C81" s="6"/>
      <c r="D81" s="6"/>
      <c r="E81" s="6"/>
      <c r="F81" s="6"/>
      <c r="G81" s="6"/>
      <c r="H81" s="6"/>
      <c r="I81" s="6"/>
      <c r="J81" s="6"/>
      <c r="K81" s="6"/>
      <c r="L81" s="6"/>
      <c r="M81" s="6"/>
      <c r="N81" s="6"/>
      <c r="O81" s="6"/>
      <c r="P81" s="6"/>
      <c r="Q81" s="6"/>
      <c r="R81" s="6"/>
      <c r="S81" s="6"/>
      <c r="T81" s="6"/>
      <c r="U81" s="6"/>
      <c r="V81" s="6"/>
      <c r="W81" s="6"/>
      <c r="X81" s="59"/>
      <c r="Y81" s="59"/>
      <c r="Z81" s="59"/>
      <c r="AA81" s="6"/>
      <c r="AB81" s="6"/>
      <c r="AC81" s="6"/>
      <c r="AD81" s="6"/>
      <c r="AE81" s="6"/>
      <c r="AF81" s="6"/>
      <c r="AG81" s="6"/>
      <c r="AH81" s="6"/>
      <c r="AI81" s="6"/>
      <c r="AJ81" s="6"/>
      <c r="AK81" s="6"/>
      <c r="AL81" s="6"/>
      <c r="AM81" s="6"/>
      <c r="AN81" s="6"/>
      <c r="AO81" s="6"/>
      <c r="AP81" s="6"/>
      <c r="AQ81" s="6"/>
      <c r="AR81" s="6"/>
      <c r="AS81" s="6"/>
      <c r="AT81" s="6"/>
      <c r="AU81" s="6"/>
      <c r="AV81" s="6"/>
    </row>
    <row r="82" spans="1:48" x14ac:dyDescent="0.2">
      <c r="A82" s="6"/>
      <c r="B82" s="6"/>
      <c r="C82" s="6"/>
      <c r="D82" s="6"/>
      <c r="E82" s="6"/>
      <c r="F82" s="6"/>
      <c r="G82" s="6"/>
      <c r="H82" s="6"/>
      <c r="I82" s="6"/>
      <c r="J82" s="6"/>
      <c r="K82" s="6"/>
      <c r="L82" s="6"/>
      <c r="M82" s="6"/>
      <c r="N82" s="6"/>
      <c r="O82" s="6"/>
      <c r="P82" s="6"/>
      <c r="Q82" s="6"/>
      <c r="R82" s="6"/>
      <c r="S82" s="6"/>
      <c r="T82" s="6"/>
      <c r="U82" s="6"/>
      <c r="V82" s="6"/>
      <c r="W82" s="6"/>
      <c r="X82" s="59"/>
      <c r="Y82" s="59"/>
      <c r="Z82" s="59"/>
      <c r="AA82" s="6"/>
      <c r="AB82" s="6"/>
      <c r="AC82" s="6"/>
      <c r="AD82" s="6"/>
      <c r="AE82" s="6"/>
      <c r="AF82" s="6"/>
      <c r="AG82" s="6"/>
      <c r="AH82" s="6"/>
      <c r="AI82" s="6"/>
      <c r="AJ82" s="6"/>
      <c r="AK82" s="6"/>
      <c r="AL82" s="6"/>
      <c r="AM82" s="6"/>
      <c r="AN82" s="6"/>
      <c r="AO82" s="6"/>
      <c r="AP82" s="6"/>
      <c r="AQ82" s="6"/>
      <c r="AR82" s="6"/>
      <c r="AS82" s="6"/>
      <c r="AT82" s="6"/>
      <c r="AU82" s="6"/>
      <c r="AV82" s="6"/>
    </row>
    <row r="83" spans="1:48" x14ac:dyDescent="0.2">
      <c r="A83" s="6"/>
      <c r="B83" s="6"/>
      <c r="C83" s="6"/>
      <c r="D83" s="6"/>
      <c r="E83" s="6"/>
      <c r="F83" s="6"/>
      <c r="G83" s="6"/>
      <c r="H83" s="6"/>
      <c r="I83" s="6"/>
      <c r="J83" s="6"/>
      <c r="K83" s="6"/>
      <c r="L83" s="6"/>
      <c r="M83" s="6"/>
      <c r="N83" s="6"/>
      <c r="O83" s="6"/>
      <c r="P83" s="6"/>
      <c r="Q83" s="6"/>
      <c r="R83" s="6"/>
      <c r="S83" s="6"/>
      <c r="T83" s="6"/>
      <c r="U83" s="6"/>
      <c r="V83" s="6"/>
      <c r="W83" s="6"/>
      <c r="X83" s="59"/>
      <c r="Y83" s="59"/>
      <c r="Z83" s="59"/>
      <c r="AA83" s="6"/>
      <c r="AB83" s="6"/>
      <c r="AC83" s="6"/>
      <c r="AD83" s="6"/>
      <c r="AE83" s="6"/>
      <c r="AF83" s="6"/>
      <c r="AG83" s="6"/>
      <c r="AH83" s="6"/>
      <c r="AI83" s="6"/>
      <c r="AJ83" s="6"/>
      <c r="AK83" s="6"/>
      <c r="AL83" s="6"/>
      <c r="AM83" s="6"/>
      <c r="AN83" s="6"/>
      <c r="AO83" s="6"/>
      <c r="AP83" s="6"/>
      <c r="AQ83" s="6"/>
      <c r="AR83" s="6"/>
      <c r="AS83" s="6"/>
      <c r="AT83" s="6"/>
      <c r="AU83" s="6"/>
      <c r="AV83" s="6"/>
    </row>
    <row r="84" spans="1:48" x14ac:dyDescent="0.2">
      <c r="A84" s="6"/>
      <c r="B84" s="6"/>
      <c r="C84" s="6"/>
      <c r="D84" s="6"/>
      <c r="E84" s="6"/>
      <c r="F84" s="6"/>
      <c r="G84" s="6"/>
      <c r="H84" s="6"/>
      <c r="I84" s="6"/>
      <c r="J84" s="6"/>
      <c r="K84" s="6"/>
      <c r="L84" s="6"/>
      <c r="M84" s="6"/>
      <c r="N84" s="6"/>
      <c r="O84" s="6"/>
      <c r="P84" s="6"/>
      <c r="Q84" s="6"/>
      <c r="R84" s="6"/>
      <c r="S84" s="6"/>
      <c r="T84" s="6"/>
      <c r="U84" s="6"/>
      <c r="V84" s="6"/>
      <c r="W84" s="6"/>
      <c r="X84" s="59"/>
      <c r="Y84" s="59"/>
      <c r="Z84" s="59"/>
      <c r="AA84" s="6"/>
      <c r="AB84" s="6"/>
      <c r="AC84" s="6"/>
      <c r="AD84" s="6"/>
      <c r="AE84" s="6"/>
      <c r="AF84" s="6"/>
      <c r="AG84" s="6"/>
      <c r="AH84" s="6"/>
      <c r="AI84" s="6"/>
      <c r="AJ84" s="6"/>
      <c r="AK84" s="6"/>
      <c r="AL84" s="6"/>
      <c r="AM84" s="6"/>
      <c r="AN84" s="6"/>
      <c r="AO84" s="6"/>
      <c r="AP84" s="6"/>
      <c r="AQ84" s="6"/>
      <c r="AR84" s="6"/>
      <c r="AS84" s="6"/>
      <c r="AT84" s="6"/>
      <c r="AU84" s="6"/>
      <c r="AV84" s="6"/>
    </row>
    <row r="85" spans="1:48" x14ac:dyDescent="0.2">
      <c r="A85" s="20"/>
      <c r="B85" s="6"/>
      <c r="C85" s="6"/>
      <c r="D85" s="6"/>
      <c r="E85" s="6"/>
      <c r="F85" s="6"/>
      <c r="G85" s="6"/>
      <c r="H85" s="6"/>
      <c r="I85" s="6"/>
      <c r="J85" s="6"/>
      <c r="K85" s="6"/>
      <c r="L85" s="6"/>
      <c r="M85" s="6"/>
      <c r="N85" s="6"/>
      <c r="O85" s="6"/>
      <c r="P85" s="6"/>
      <c r="Q85" s="6"/>
      <c r="R85" s="6"/>
      <c r="S85" s="6"/>
      <c r="T85" s="6"/>
      <c r="U85" s="6"/>
      <c r="V85" s="6"/>
      <c r="W85" s="6"/>
      <c r="X85" s="59"/>
      <c r="Y85" s="59"/>
      <c r="Z85" s="59"/>
      <c r="AA85" s="6"/>
      <c r="AB85" s="6"/>
      <c r="AC85" s="6"/>
      <c r="AD85" s="6"/>
      <c r="AE85" s="6"/>
      <c r="AF85" s="6"/>
      <c r="AG85" s="6"/>
      <c r="AH85" s="6"/>
      <c r="AI85" s="6"/>
      <c r="AJ85" s="6"/>
      <c r="AK85" s="6"/>
      <c r="AL85" s="6"/>
      <c r="AM85" s="6"/>
      <c r="AN85" s="6"/>
      <c r="AO85" s="6"/>
      <c r="AP85" s="6"/>
      <c r="AQ85" s="6"/>
      <c r="AR85" s="6"/>
      <c r="AS85" s="6"/>
      <c r="AT85" s="6"/>
      <c r="AU85" s="6"/>
      <c r="AV85" s="6"/>
    </row>
    <row r="86" spans="1:48" x14ac:dyDescent="0.2">
      <c r="A86" s="6"/>
      <c r="B86" s="6"/>
      <c r="C86" s="6"/>
      <c r="D86" s="6"/>
      <c r="E86" s="6"/>
      <c r="F86" s="6"/>
      <c r="G86" s="6"/>
      <c r="H86" s="6"/>
      <c r="I86" s="6"/>
      <c r="J86" s="6"/>
      <c r="K86" s="6"/>
      <c r="L86" s="6"/>
      <c r="M86" s="6"/>
      <c r="N86" s="6"/>
      <c r="O86" s="6"/>
      <c r="P86" s="6"/>
      <c r="Q86" s="6"/>
      <c r="R86" s="6"/>
      <c r="S86" s="6"/>
      <c r="T86" s="6"/>
      <c r="U86" s="6"/>
      <c r="V86" s="6"/>
      <c r="W86" s="6"/>
      <c r="X86" s="59"/>
      <c r="Y86" s="59"/>
      <c r="Z86" s="59"/>
      <c r="AA86" s="6"/>
      <c r="AB86" s="6"/>
      <c r="AC86" s="6"/>
      <c r="AD86" s="6"/>
      <c r="AE86" s="6"/>
      <c r="AF86" s="6"/>
      <c r="AG86" s="6"/>
      <c r="AH86" s="6"/>
      <c r="AI86" s="6"/>
      <c r="AJ86" s="6"/>
      <c r="AK86" s="6"/>
      <c r="AL86" s="6"/>
      <c r="AM86" s="6"/>
      <c r="AN86" s="6"/>
      <c r="AO86" s="6"/>
      <c r="AP86" s="6"/>
      <c r="AQ86" s="6"/>
      <c r="AR86" s="6"/>
      <c r="AS86" s="6"/>
      <c r="AT86" s="6"/>
      <c r="AU86" s="6"/>
      <c r="AV86" s="6"/>
    </row>
    <row r="87" spans="1:48" x14ac:dyDescent="0.2">
      <c r="A87" s="6"/>
      <c r="B87" s="6"/>
      <c r="C87" s="6"/>
      <c r="D87" s="6"/>
      <c r="E87" s="6"/>
      <c r="F87" s="6"/>
      <c r="G87" s="6"/>
      <c r="H87" s="6"/>
      <c r="I87" s="6"/>
      <c r="J87" s="6"/>
      <c r="K87" s="6"/>
      <c r="L87" s="6"/>
      <c r="M87" s="6"/>
      <c r="N87" s="6"/>
      <c r="O87" s="6"/>
      <c r="P87" s="6"/>
      <c r="Q87" s="6"/>
      <c r="R87" s="6"/>
      <c r="S87" s="6"/>
      <c r="T87" s="6"/>
      <c r="U87" s="6"/>
      <c r="V87" s="6"/>
      <c r="W87" s="6"/>
      <c r="X87" s="59"/>
      <c r="Y87" s="59"/>
      <c r="Z87" s="59"/>
      <c r="AA87" s="6"/>
      <c r="AB87" s="6"/>
      <c r="AC87" s="6"/>
      <c r="AD87" s="6"/>
      <c r="AE87" s="6"/>
      <c r="AF87" s="6"/>
      <c r="AG87" s="6"/>
      <c r="AH87" s="6"/>
      <c r="AI87" s="6"/>
      <c r="AJ87" s="6"/>
      <c r="AK87" s="6"/>
      <c r="AL87" s="6"/>
      <c r="AM87" s="6"/>
      <c r="AN87" s="6"/>
      <c r="AO87" s="6"/>
      <c r="AP87" s="6"/>
      <c r="AQ87" s="6"/>
      <c r="AR87" s="6"/>
      <c r="AS87" s="6"/>
      <c r="AT87" s="6"/>
      <c r="AU87" s="6"/>
      <c r="AV87" s="6"/>
    </row>
    <row r="88" spans="1:48" x14ac:dyDescent="0.2">
      <c r="A88" s="6"/>
      <c r="B88" s="6"/>
      <c r="C88" s="6"/>
      <c r="D88" s="6"/>
      <c r="E88" s="6"/>
      <c r="F88" s="6"/>
      <c r="G88" s="6"/>
      <c r="H88" s="6"/>
      <c r="I88" s="6"/>
      <c r="J88" s="6"/>
      <c r="K88" s="6"/>
      <c r="L88" s="6"/>
      <c r="M88" s="6"/>
      <c r="N88" s="6"/>
      <c r="O88" s="6"/>
      <c r="P88" s="6"/>
      <c r="Q88" s="6"/>
      <c r="R88" s="6"/>
      <c r="S88" s="6"/>
      <c r="T88" s="6"/>
      <c r="U88" s="6"/>
      <c r="V88" s="6"/>
      <c r="W88" s="6"/>
      <c r="X88" s="59"/>
      <c r="Y88" s="59"/>
      <c r="Z88" s="59"/>
      <c r="AA88" s="6"/>
      <c r="AB88" s="6"/>
      <c r="AC88" s="6"/>
      <c r="AD88" s="6"/>
      <c r="AE88" s="6"/>
      <c r="AF88" s="6"/>
      <c r="AG88" s="6"/>
      <c r="AH88" s="6"/>
      <c r="AI88" s="6"/>
      <c r="AJ88" s="6"/>
      <c r="AK88" s="6"/>
      <c r="AL88" s="6"/>
      <c r="AM88" s="6"/>
      <c r="AN88" s="6"/>
      <c r="AO88" s="6"/>
      <c r="AP88" s="6"/>
      <c r="AQ88" s="6"/>
      <c r="AR88" s="6"/>
      <c r="AS88" s="6"/>
      <c r="AT88" s="6"/>
      <c r="AU88" s="6"/>
      <c r="AV88" s="6"/>
    </row>
    <row r="89" spans="1:48" x14ac:dyDescent="0.2">
      <c r="A89" s="6"/>
      <c r="B89" s="6"/>
      <c r="C89" s="6"/>
      <c r="D89" s="6"/>
      <c r="E89" s="6"/>
      <c r="F89" s="6"/>
      <c r="G89" s="6"/>
      <c r="H89" s="6"/>
      <c r="I89" s="6"/>
      <c r="J89" s="6"/>
      <c r="K89" s="6"/>
      <c r="L89" s="6"/>
      <c r="M89" s="6"/>
      <c r="N89" s="6"/>
      <c r="O89" s="6"/>
      <c r="P89" s="6"/>
      <c r="Q89" s="6"/>
      <c r="R89" s="6"/>
      <c r="S89" s="6"/>
      <c r="T89" s="6"/>
      <c r="U89" s="6"/>
      <c r="V89" s="6"/>
      <c r="W89" s="6"/>
      <c r="X89" s="59"/>
      <c r="Y89" s="59"/>
      <c r="Z89" s="59"/>
      <c r="AA89" s="6"/>
      <c r="AB89" s="6"/>
      <c r="AC89" s="6"/>
      <c r="AD89" s="6"/>
      <c r="AE89" s="6"/>
      <c r="AF89" s="6"/>
      <c r="AG89" s="6"/>
      <c r="AH89" s="6"/>
      <c r="AI89" s="6"/>
      <c r="AJ89" s="6"/>
      <c r="AK89" s="6"/>
      <c r="AL89" s="6"/>
      <c r="AM89" s="6"/>
      <c r="AN89" s="6"/>
      <c r="AO89" s="6"/>
      <c r="AP89" s="6"/>
      <c r="AQ89" s="6"/>
      <c r="AR89" s="6"/>
      <c r="AS89" s="6"/>
      <c r="AT89" s="6"/>
      <c r="AU89" s="6"/>
      <c r="AV89" s="6"/>
    </row>
    <row r="90" spans="1:48" x14ac:dyDescent="0.2">
      <c r="A90" s="6"/>
      <c r="B90" s="6"/>
      <c r="C90" s="6"/>
      <c r="D90" s="6"/>
      <c r="E90" s="6"/>
      <c r="F90" s="6"/>
      <c r="G90" s="6"/>
      <c r="H90" s="6"/>
      <c r="I90" s="6"/>
      <c r="J90" s="6"/>
      <c r="K90" s="6"/>
      <c r="L90" s="6"/>
      <c r="M90" s="6"/>
      <c r="N90" s="6"/>
      <c r="O90" s="6"/>
      <c r="P90" s="6"/>
      <c r="Q90" s="6"/>
      <c r="R90" s="6"/>
      <c r="S90" s="6"/>
      <c r="T90" s="6"/>
      <c r="U90" s="6"/>
      <c r="V90" s="6"/>
      <c r="W90" s="6"/>
      <c r="X90" s="59"/>
      <c r="Y90" s="59"/>
      <c r="Z90" s="59"/>
      <c r="AA90" s="6"/>
      <c r="AB90" s="6"/>
      <c r="AC90" s="6"/>
      <c r="AD90" s="6"/>
      <c r="AE90" s="6"/>
      <c r="AF90" s="6"/>
      <c r="AG90" s="6"/>
      <c r="AH90" s="6"/>
      <c r="AI90" s="6"/>
      <c r="AJ90" s="6"/>
      <c r="AK90" s="6"/>
      <c r="AL90" s="6"/>
      <c r="AM90" s="6"/>
      <c r="AN90" s="6"/>
      <c r="AO90" s="6"/>
      <c r="AP90" s="6"/>
      <c r="AQ90" s="6"/>
      <c r="AR90" s="6"/>
      <c r="AS90" s="6"/>
      <c r="AT90" s="6"/>
      <c r="AU90" s="6"/>
      <c r="AV90" s="6"/>
    </row>
    <row r="91" spans="1:48" x14ac:dyDescent="0.2">
      <c r="A91" s="6"/>
      <c r="B91" s="6"/>
      <c r="C91" s="6"/>
      <c r="D91" s="6"/>
      <c r="E91" s="6"/>
      <c r="F91" s="6"/>
      <c r="G91" s="6"/>
      <c r="H91" s="6"/>
      <c r="I91" s="6"/>
      <c r="J91" s="6"/>
      <c r="K91" s="6"/>
      <c r="L91" s="6"/>
      <c r="M91" s="6"/>
      <c r="N91" s="6"/>
      <c r="O91" s="6"/>
      <c r="P91" s="6"/>
      <c r="Q91" s="6"/>
      <c r="R91" s="6"/>
      <c r="S91" s="6"/>
      <c r="T91" s="6"/>
      <c r="U91" s="6"/>
      <c r="V91" s="6"/>
      <c r="W91" s="6"/>
      <c r="X91" s="59"/>
      <c r="Y91" s="59"/>
      <c r="Z91" s="59"/>
      <c r="AA91" s="6"/>
      <c r="AB91" s="6"/>
      <c r="AC91" s="6"/>
      <c r="AD91" s="6"/>
      <c r="AE91" s="6"/>
      <c r="AF91" s="6"/>
      <c r="AG91" s="6"/>
      <c r="AH91" s="6"/>
      <c r="AI91" s="6"/>
      <c r="AJ91" s="6"/>
      <c r="AK91" s="6"/>
      <c r="AL91" s="6"/>
      <c r="AM91" s="6"/>
      <c r="AN91" s="6"/>
      <c r="AO91" s="6"/>
      <c r="AP91" s="6"/>
      <c r="AQ91" s="6"/>
      <c r="AR91" s="6"/>
      <c r="AS91" s="6"/>
      <c r="AT91" s="6"/>
      <c r="AU91" s="6"/>
      <c r="AV91" s="6"/>
    </row>
    <row r="92" spans="1:48" x14ac:dyDescent="0.2">
      <c r="A92" s="6"/>
      <c r="B92" s="6"/>
      <c r="C92" s="6"/>
      <c r="D92" s="6"/>
      <c r="E92" s="6"/>
      <c r="F92" s="6"/>
      <c r="G92" s="6"/>
      <c r="H92" s="6"/>
      <c r="I92" s="6"/>
      <c r="J92" s="6"/>
      <c r="K92" s="6"/>
      <c r="L92" s="6"/>
      <c r="M92" s="6"/>
      <c r="N92" s="6"/>
      <c r="O92" s="6"/>
      <c r="P92" s="6"/>
      <c r="Q92" s="6"/>
      <c r="R92" s="6"/>
      <c r="S92" s="6"/>
      <c r="T92" s="6"/>
      <c r="U92" s="6"/>
      <c r="V92" s="6"/>
      <c r="W92" s="6"/>
      <c r="X92" s="59"/>
      <c r="Y92" s="59"/>
      <c r="Z92" s="59"/>
      <c r="AA92" s="6"/>
      <c r="AB92" s="6"/>
      <c r="AC92" s="6"/>
      <c r="AD92" s="6"/>
      <c r="AE92" s="6"/>
      <c r="AF92" s="6"/>
      <c r="AG92" s="6"/>
      <c r="AH92" s="6"/>
      <c r="AI92" s="6"/>
      <c r="AJ92" s="6"/>
      <c r="AK92" s="6"/>
      <c r="AL92" s="6"/>
      <c r="AM92" s="6"/>
      <c r="AN92" s="6"/>
      <c r="AO92" s="6"/>
      <c r="AP92" s="6"/>
      <c r="AQ92" s="6"/>
      <c r="AR92" s="6"/>
      <c r="AS92" s="6"/>
      <c r="AT92" s="6"/>
      <c r="AU92" s="6"/>
      <c r="AV92" s="6"/>
    </row>
    <row r="93" spans="1:48" ht="19" x14ac:dyDescent="0.2">
      <c r="A93" s="6"/>
      <c r="B93" s="6"/>
      <c r="C93" s="6"/>
      <c r="D93" s="6"/>
      <c r="E93" s="6"/>
      <c r="F93" s="6"/>
      <c r="G93" s="6"/>
      <c r="H93" s="6"/>
      <c r="I93" s="20"/>
      <c r="J93" s="6"/>
      <c r="K93" s="73"/>
      <c r="L93" s="6"/>
      <c r="M93" s="6"/>
      <c r="N93" s="23"/>
      <c r="O93" s="6"/>
      <c r="P93" s="6"/>
      <c r="Q93" s="6"/>
      <c r="R93" s="6"/>
      <c r="S93" s="6"/>
      <c r="T93" s="6"/>
      <c r="U93" s="6"/>
      <c r="V93" s="6"/>
      <c r="W93" s="6"/>
      <c r="X93" s="59"/>
      <c r="Y93" s="59"/>
      <c r="Z93" s="59"/>
      <c r="AA93" s="6"/>
      <c r="AB93" s="6"/>
      <c r="AC93" s="6"/>
      <c r="AD93" s="6"/>
      <c r="AE93" s="6"/>
      <c r="AF93" s="6"/>
      <c r="AG93" s="6"/>
      <c r="AH93" s="6"/>
      <c r="AI93" s="6"/>
      <c r="AJ93" s="6"/>
      <c r="AK93" s="6"/>
      <c r="AL93" s="6"/>
      <c r="AM93" s="6"/>
      <c r="AN93" s="6"/>
      <c r="AO93" s="6"/>
      <c r="AP93" s="6"/>
      <c r="AQ93" s="6"/>
      <c r="AR93" s="6"/>
      <c r="AS93" s="6"/>
      <c r="AT93" s="6"/>
      <c r="AU93" s="6"/>
      <c r="AV93" s="6"/>
    </row>
    <row r="94" spans="1:48" x14ac:dyDescent="0.2">
      <c r="A94" s="6"/>
      <c r="B94" s="6"/>
      <c r="C94" s="6"/>
      <c r="D94" s="6"/>
      <c r="E94" s="6"/>
      <c r="F94" s="6"/>
      <c r="G94" s="6"/>
      <c r="H94" s="6"/>
      <c r="I94" s="20"/>
      <c r="J94" s="6"/>
      <c r="K94" s="20"/>
      <c r="L94" s="21"/>
      <c r="M94" s="6"/>
      <c r="N94" s="20"/>
      <c r="O94" s="22"/>
      <c r="P94" s="6"/>
      <c r="Q94" s="6"/>
      <c r="R94" s="6"/>
      <c r="S94" s="6"/>
      <c r="T94" s="6"/>
      <c r="U94" s="6"/>
      <c r="V94" s="6"/>
      <c r="W94" s="6"/>
      <c r="X94" s="59"/>
      <c r="Y94" s="59"/>
      <c r="Z94" s="59"/>
      <c r="AA94" s="6"/>
      <c r="AB94" s="6"/>
      <c r="AC94" s="6"/>
      <c r="AD94" s="6"/>
      <c r="AE94" s="6"/>
      <c r="AF94" s="6"/>
      <c r="AG94" s="6"/>
      <c r="AH94" s="6"/>
      <c r="AI94" s="6"/>
      <c r="AJ94" s="6"/>
      <c r="AK94" s="6"/>
      <c r="AL94" s="6"/>
      <c r="AM94" s="6"/>
      <c r="AN94" s="6"/>
      <c r="AO94" s="6"/>
      <c r="AP94" s="6"/>
      <c r="AQ94" s="6"/>
      <c r="AR94" s="6"/>
      <c r="AS94" s="6"/>
      <c r="AT94" s="6"/>
      <c r="AU94" s="6"/>
      <c r="AV94" s="6"/>
    </row>
    <row r="95" spans="1:48" x14ac:dyDescent="0.2">
      <c r="A95" s="6"/>
      <c r="B95" s="6"/>
      <c r="C95" s="6"/>
      <c r="D95" s="46"/>
      <c r="E95" s="46"/>
      <c r="F95" s="46"/>
      <c r="G95" s="6"/>
      <c r="H95" s="6"/>
      <c r="I95" s="20"/>
      <c r="J95" s="6"/>
      <c r="K95" s="20"/>
      <c r="L95" s="24"/>
      <c r="M95" s="6"/>
      <c r="N95" s="20"/>
      <c r="O95" s="24"/>
      <c r="P95" s="6"/>
      <c r="Q95" s="6"/>
      <c r="R95" s="6"/>
      <c r="S95" s="6"/>
      <c r="T95" s="6"/>
      <c r="U95" s="6"/>
      <c r="V95" s="6"/>
      <c r="W95" s="6"/>
      <c r="X95" s="59"/>
      <c r="Y95" s="59"/>
      <c r="Z95" s="59"/>
      <c r="AA95" s="6"/>
      <c r="AB95" s="6"/>
      <c r="AC95" s="6"/>
      <c r="AD95" s="6"/>
      <c r="AE95" s="6"/>
      <c r="AF95" s="6"/>
      <c r="AG95" s="6"/>
      <c r="AH95" s="6"/>
      <c r="AI95" s="6"/>
      <c r="AJ95" s="6"/>
      <c r="AK95" s="6"/>
      <c r="AL95" s="6"/>
      <c r="AM95" s="6"/>
      <c r="AN95" s="6"/>
      <c r="AO95" s="6"/>
      <c r="AP95" s="6"/>
      <c r="AQ95" s="6"/>
      <c r="AR95" s="6"/>
      <c r="AS95" s="6"/>
      <c r="AT95" s="6"/>
      <c r="AU95" s="6"/>
      <c r="AV95" s="6"/>
    </row>
    <row r="96" spans="1:48" x14ac:dyDescent="0.2">
      <c r="A96" s="6"/>
      <c r="B96" s="6"/>
      <c r="C96" s="6"/>
      <c r="D96" s="6"/>
      <c r="E96" s="6"/>
      <c r="F96" s="6"/>
      <c r="G96" s="6"/>
      <c r="H96" s="6"/>
      <c r="I96" s="20"/>
      <c r="J96" s="6"/>
      <c r="K96" s="20"/>
      <c r="L96" s="21"/>
      <c r="M96" s="6"/>
      <c r="N96" s="6"/>
      <c r="O96" s="6"/>
      <c r="P96" s="6"/>
      <c r="Q96" s="6"/>
      <c r="R96" s="6"/>
      <c r="S96" s="6"/>
      <c r="T96" s="6"/>
      <c r="U96" s="6"/>
      <c r="V96" s="6"/>
      <c r="W96" s="6"/>
      <c r="X96" s="59"/>
      <c r="Y96" s="59"/>
      <c r="Z96" s="59"/>
      <c r="AA96" s="6"/>
      <c r="AB96" s="6"/>
      <c r="AC96" s="6"/>
      <c r="AD96" s="6"/>
      <c r="AE96" s="6"/>
      <c r="AF96" s="6"/>
      <c r="AG96" s="6"/>
      <c r="AH96" s="6"/>
      <c r="AI96" s="6"/>
      <c r="AJ96" s="6"/>
      <c r="AK96" s="6"/>
      <c r="AL96" s="6"/>
      <c r="AM96" s="6"/>
      <c r="AN96" s="6"/>
      <c r="AO96" s="6"/>
      <c r="AP96" s="6"/>
      <c r="AQ96" s="6"/>
      <c r="AR96" s="6"/>
      <c r="AS96" s="6"/>
      <c r="AT96" s="6"/>
      <c r="AU96" s="6"/>
      <c r="AV96" s="6"/>
    </row>
    <row r="97" spans="1:48" x14ac:dyDescent="0.2">
      <c r="A97" s="6"/>
      <c r="B97" s="6"/>
      <c r="C97" s="6"/>
      <c r="D97" s="6"/>
      <c r="E97" s="6"/>
      <c r="F97" s="6"/>
      <c r="G97" s="6"/>
      <c r="H97" s="6"/>
      <c r="I97" s="20"/>
      <c r="J97" s="6"/>
      <c r="K97" s="20"/>
      <c r="L97" s="6"/>
      <c r="M97" s="6"/>
      <c r="N97" s="6"/>
      <c r="O97" s="6"/>
      <c r="P97" s="6"/>
      <c r="Q97" s="6"/>
      <c r="R97" s="6"/>
      <c r="S97" s="6"/>
      <c r="T97" s="6"/>
      <c r="U97" s="6"/>
      <c r="V97" s="6"/>
      <c r="W97" s="6"/>
      <c r="X97" s="59"/>
      <c r="Y97" s="59"/>
      <c r="Z97" s="59"/>
      <c r="AA97" s="6"/>
      <c r="AB97" s="6"/>
      <c r="AC97" s="6"/>
      <c r="AD97" s="6"/>
      <c r="AE97" s="6"/>
      <c r="AF97" s="6"/>
      <c r="AG97" s="6"/>
      <c r="AH97" s="6"/>
      <c r="AI97" s="6"/>
      <c r="AJ97" s="6"/>
      <c r="AK97" s="6"/>
      <c r="AL97" s="6"/>
      <c r="AM97" s="6"/>
      <c r="AN97" s="6"/>
      <c r="AO97" s="6"/>
      <c r="AP97" s="6"/>
      <c r="AQ97" s="6"/>
      <c r="AR97" s="6"/>
      <c r="AS97" s="6"/>
      <c r="AT97" s="6"/>
      <c r="AU97" s="6"/>
      <c r="AV97" s="6"/>
    </row>
    <row r="98" spans="1:48" x14ac:dyDescent="0.2">
      <c r="A98" s="6"/>
      <c r="B98" s="6"/>
      <c r="C98" s="6"/>
      <c r="D98" s="6"/>
      <c r="E98" s="6"/>
      <c r="F98" s="6"/>
      <c r="G98" s="6"/>
      <c r="H98" s="6"/>
      <c r="I98" s="20"/>
      <c r="J98" s="6"/>
      <c r="K98" s="20"/>
      <c r="L98" s="21"/>
      <c r="M98" s="6"/>
      <c r="N98" s="6"/>
      <c r="O98" s="6"/>
      <c r="P98" s="6"/>
      <c r="Q98" s="6"/>
      <c r="R98" s="6"/>
      <c r="S98" s="6"/>
      <c r="T98" s="6"/>
      <c r="U98" s="6"/>
      <c r="V98" s="6"/>
      <c r="W98" s="6"/>
      <c r="X98" s="59"/>
      <c r="Y98" s="59"/>
      <c r="Z98" s="59"/>
      <c r="AA98" s="6"/>
      <c r="AB98" s="6"/>
      <c r="AC98" s="6"/>
      <c r="AD98" s="6"/>
      <c r="AE98" s="6"/>
      <c r="AF98" s="6"/>
      <c r="AG98" s="6"/>
      <c r="AH98" s="6"/>
      <c r="AI98" s="6"/>
      <c r="AJ98" s="6"/>
      <c r="AK98" s="6"/>
      <c r="AL98" s="6"/>
      <c r="AM98" s="6"/>
      <c r="AN98" s="6"/>
      <c r="AO98" s="6"/>
      <c r="AP98" s="6"/>
      <c r="AQ98" s="6"/>
      <c r="AR98" s="6"/>
      <c r="AS98" s="6"/>
      <c r="AT98" s="6"/>
      <c r="AU98" s="6"/>
      <c r="AV98" s="6"/>
    </row>
    <row r="99" spans="1:48" x14ac:dyDescent="0.2">
      <c r="A99" s="6"/>
      <c r="B99" s="6"/>
      <c r="C99" s="6"/>
      <c r="D99" s="6"/>
      <c r="E99" s="6"/>
      <c r="F99" s="6"/>
      <c r="G99" s="6"/>
      <c r="H99" s="6"/>
      <c r="I99" s="20"/>
      <c r="J99" s="6"/>
      <c r="K99" s="20"/>
      <c r="L99" s="21"/>
      <c r="M99" s="6"/>
      <c r="N99" s="6"/>
      <c r="O99" s="6"/>
      <c r="P99" s="6"/>
      <c r="Q99" s="6"/>
      <c r="R99" s="6"/>
      <c r="S99" s="6"/>
      <c r="T99" s="6"/>
      <c r="U99" s="6"/>
      <c r="V99" s="6"/>
      <c r="W99" s="6"/>
      <c r="X99" s="59"/>
      <c r="Y99" s="59"/>
      <c r="Z99" s="59"/>
      <c r="AA99" s="6"/>
      <c r="AB99" s="6"/>
      <c r="AC99" s="6"/>
      <c r="AD99" s="6"/>
      <c r="AE99" s="6"/>
      <c r="AF99" s="6"/>
      <c r="AG99" s="6"/>
      <c r="AH99" s="6"/>
      <c r="AI99" s="6"/>
      <c r="AJ99" s="6"/>
      <c r="AK99" s="6"/>
      <c r="AL99" s="6"/>
      <c r="AM99" s="6"/>
      <c r="AN99" s="6"/>
      <c r="AO99" s="6"/>
      <c r="AP99" s="6"/>
      <c r="AQ99" s="6"/>
      <c r="AR99" s="6"/>
      <c r="AS99" s="6"/>
      <c r="AT99" s="6"/>
      <c r="AU99" s="6"/>
      <c r="AV99" s="6"/>
    </row>
    <row r="100" spans="1:48" x14ac:dyDescent="0.2">
      <c r="A100" s="6"/>
      <c r="B100" s="6"/>
      <c r="C100" s="6"/>
      <c r="D100" s="6"/>
      <c r="E100" s="6"/>
      <c r="F100" s="6"/>
      <c r="G100" s="6"/>
      <c r="H100" s="6"/>
      <c r="I100" s="20"/>
      <c r="J100" s="6"/>
      <c r="K100" s="20"/>
      <c r="L100" s="21"/>
      <c r="M100" s="6"/>
      <c r="N100" s="6"/>
      <c r="O100" s="6"/>
      <c r="P100" s="6"/>
      <c r="Q100" s="6"/>
      <c r="R100" s="6"/>
      <c r="S100" s="6"/>
      <c r="T100" s="6"/>
      <c r="U100" s="6"/>
      <c r="V100" s="6"/>
      <c r="W100" s="6"/>
      <c r="X100" s="59"/>
      <c r="Y100" s="59"/>
      <c r="Z100" s="59"/>
      <c r="AA100" s="6"/>
      <c r="AB100" s="6"/>
      <c r="AC100" s="6"/>
      <c r="AD100" s="6"/>
      <c r="AE100" s="6"/>
      <c r="AF100" s="6"/>
      <c r="AG100" s="6"/>
      <c r="AH100" s="6"/>
      <c r="AI100" s="6"/>
      <c r="AJ100" s="6"/>
      <c r="AK100" s="6"/>
      <c r="AL100" s="6"/>
      <c r="AM100" s="6"/>
      <c r="AN100" s="6"/>
      <c r="AO100" s="6"/>
      <c r="AP100" s="6"/>
      <c r="AQ100" s="6"/>
      <c r="AR100" s="6"/>
      <c r="AS100" s="6"/>
      <c r="AT100" s="6"/>
      <c r="AU100" s="6"/>
      <c r="AV100" s="6"/>
    </row>
    <row r="101" spans="1:48" x14ac:dyDescent="0.2">
      <c r="A101" s="6"/>
      <c r="B101" s="6"/>
      <c r="C101" s="6"/>
      <c r="D101" s="6"/>
      <c r="E101" s="6"/>
      <c r="F101" s="6"/>
      <c r="G101" s="6"/>
      <c r="H101" s="6"/>
      <c r="I101" s="20"/>
      <c r="J101" s="6"/>
      <c r="K101" s="20"/>
      <c r="L101" s="21"/>
      <c r="M101" s="6"/>
      <c r="N101" s="6"/>
      <c r="O101" s="6"/>
      <c r="P101" s="6"/>
      <c r="Q101" s="6"/>
      <c r="R101" s="6"/>
      <c r="S101" s="6"/>
      <c r="T101" s="6"/>
      <c r="U101" s="6"/>
      <c r="V101" s="6"/>
      <c r="W101" s="6"/>
      <c r="X101" s="59"/>
      <c r="Y101" s="59"/>
      <c r="Z101" s="59"/>
      <c r="AA101" s="6"/>
      <c r="AB101" s="6"/>
      <c r="AC101" s="6"/>
      <c r="AD101" s="6"/>
      <c r="AE101" s="6"/>
      <c r="AF101" s="6"/>
      <c r="AG101" s="6"/>
      <c r="AH101" s="6"/>
      <c r="AI101" s="6"/>
      <c r="AJ101" s="6"/>
      <c r="AK101" s="6"/>
      <c r="AL101" s="6"/>
      <c r="AM101" s="6"/>
      <c r="AN101" s="6"/>
      <c r="AO101" s="6"/>
      <c r="AP101" s="6"/>
      <c r="AQ101" s="6"/>
      <c r="AR101" s="6"/>
      <c r="AS101" s="6"/>
      <c r="AT101" s="6"/>
      <c r="AU101" s="6"/>
      <c r="AV101" s="6"/>
    </row>
    <row r="102" spans="1:48" x14ac:dyDescent="0.2">
      <c r="A102" s="6"/>
      <c r="B102" s="6"/>
      <c r="C102" s="6"/>
      <c r="D102" s="6"/>
      <c r="E102" s="6"/>
      <c r="F102" s="6"/>
      <c r="G102" s="6"/>
      <c r="H102" s="6"/>
      <c r="I102" s="20"/>
      <c r="J102" s="6"/>
      <c r="K102" s="20"/>
      <c r="L102" s="21"/>
      <c r="M102" s="21"/>
      <c r="N102" s="21"/>
      <c r="O102" s="21"/>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row>
    <row r="103" spans="1:48" x14ac:dyDescent="0.2">
      <c r="A103" s="6"/>
      <c r="B103" s="6"/>
      <c r="C103" s="6"/>
      <c r="D103" s="6"/>
      <c r="E103" s="6"/>
      <c r="F103" s="6"/>
      <c r="G103" s="6"/>
      <c r="H103" s="6"/>
      <c r="I103" s="20"/>
      <c r="J103" s="6"/>
      <c r="K103" s="20"/>
      <c r="L103" s="24"/>
      <c r="M103" s="24"/>
      <c r="N103" s="24"/>
      <c r="O103" s="24"/>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row>
    <row r="104" spans="1:48" x14ac:dyDescent="0.2">
      <c r="A104" s="6"/>
      <c r="B104" s="6"/>
      <c r="C104" s="6"/>
      <c r="D104" s="6"/>
      <c r="E104" s="6"/>
      <c r="F104" s="6"/>
      <c r="G104" s="6"/>
      <c r="H104" s="6"/>
      <c r="I104" s="20"/>
      <c r="J104" s="6"/>
      <c r="K104" s="6"/>
      <c r="L104" s="21"/>
      <c r="M104" s="21"/>
      <c r="N104" s="21"/>
      <c r="O104" s="21"/>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row>
    <row r="105" spans="1:48" x14ac:dyDescent="0.2">
      <c r="A105" s="6"/>
      <c r="B105" s="6"/>
      <c r="C105" s="6"/>
      <c r="D105" s="6"/>
      <c r="E105" s="6"/>
      <c r="F105" s="6"/>
      <c r="G105" s="6"/>
      <c r="H105" s="6"/>
      <c r="I105" s="20"/>
      <c r="J105" s="6"/>
      <c r="K105" s="23"/>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row>
    <row r="106" spans="1:48" x14ac:dyDescent="0.2">
      <c r="A106" s="6"/>
      <c r="B106" s="6"/>
      <c r="C106" s="6"/>
      <c r="D106" s="6"/>
      <c r="E106" s="6"/>
      <c r="F106" s="6"/>
      <c r="G106" s="6"/>
      <c r="H106" s="6"/>
      <c r="I106" s="20"/>
      <c r="J106" s="6"/>
      <c r="K106" s="20"/>
      <c r="L106" s="24"/>
      <c r="M106" s="24"/>
      <c r="N106" s="24"/>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row>
    <row r="107" spans="1:48" x14ac:dyDescent="0.2">
      <c r="A107" s="6"/>
      <c r="B107" s="6"/>
      <c r="C107" s="6"/>
      <c r="D107" s="6"/>
      <c r="E107" s="6"/>
      <c r="F107" s="6"/>
      <c r="G107" s="6"/>
      <c r="H107" s="6"/>
      <c r="I107" s="20"/>
      <c r="J107" s="6"/>
      <c r="K107" s="20"/>
      <c r="L107" s="24"/>
      <c r="M107" s="24"/>
      <c r="N107" s="24"/>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row>
    <row r="108" spans="1:48" x14ac:dyDescent="0.2">
      <c r="A108" s="6"/>
      <c r="B108" s="6"/>
      <c r="C108" s="6"/>
      <c r="D108" s="6"/>
      <c r="E108" s="6"/>
      <c r="F108" s="6"/>
      <c r="G108" s="6"/>
      <c r="H108" s="6"/>
      <c r="I108" s="20"/>
      <c r="J108" s="6"/>
      <c r="K108" s="20"/>
      <c r="L108" s="24"/>
      <c r="M108" s="24"/>
      <c r="N108" s="24"/>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row>
    <row r="109" spans="1:48" x14ac:dyDescent="0.2">
      <c r="C109" s="6"/>
      <c r="D109" s="6"/>
      <c r="E109" s="6"/>
      <c r="F109" s="6"/>
      <c r="G109" s="6"/>
      <c r="H109" s="6"/>
      <c r="I109" s="20"/>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row>
    <row r="110" spans="1:48" x14ac:dyDescent="0.2">
      <c r="C110" s="6"/>
      <c r="D110" s="6"/>
      <c r="E110" s="6"/>
      <c r="F110" s="6"/>
      <c r="G110" s="6"/>
      <c r="H110" s="6"/>
      <c r="I110" s="20"/>
      <c r="J110" s="6"/>
      <c r="K110" s="23"/>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row>
    <row r="111" spans="1:48" x14ac:dyDescent="0.2">
      <c r="C111" s="6"/>
      <c r="D111" s="6"/>
      <c r="E111" s="6"/>
      <c r="F111" s="6"/>
      <c r="G111" s="6"/>
      <c r="H111" s="6"/>
      <c r="I111" s="20"/>
      <c r="J111" s="6"/>
      <c r="K111" s="20"/>
      <c r="L111" s="24"/>
      <c r="M111" s="24"/>
      <c r="N111" s="24"/>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row>
    <row r="112" spans="1:48" x14ac:dyDescent="0.2">
      <c r="C112" s="6"/>
      <c r="D112" s="6"/>
      <c r="E112" s="6"/>
      <c r="F112" s="6"/>
      <c r="G112" s="6"/>
      <c r="H112" s="6"/>
      <c r="I112" s="20"/>
      <c r="J112" s="6"/>
      <c r="K112" s="20"/>
      <c r="L112" s="24"/>
      <c r="M112" s="24"/>
      <c r="N112" s="24"/>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row>
    <row r="113" spans="3:48" x14ac:dyDescent="0.2">
      <c r="C113" s="6"/>
      <c r="D113" s="6"/>
      <c r="E113" s="6"/>
      <c r="F113" s="6"/>
      <c r="G113" s="6"/>
      <c r="H113" s="6"/>
      <c r="I113" s="20"/>
      <c r="J113" s="6"/>
      <c r="K113" s="20"/>
      <c r="L113" s="24"/>
      <c r="M113" s="24"/>
      <c r="N113" s="24"/>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row>
    <row r="114" spans="3:48" x14ac:dyDescent="0.2">
      <c r="I114" s="3"/>
      <c r="AB114" s="6"/>
      <c r="AC114" s="6"/>
      <c r="AD114" s="6"/>
      <c r="AE114" s="6"/>
      <c r="AF114" s="6"/>
      <c r="AG114" s="6"/>
      <c r="AH114" s="6"/>
      <c r="AI114" s="6"/>
      <c r="AJ114" s="6"/>
      <c r="AK114" s="6"/>
      <c r="AL114" s="6"/>
      <c r="AM114" s="6"/>
      <c r="AN114" s="6"/>
      <c r="AO114" s="6"/>
      <c r="AP114" s="6"/>
      <c r="AQ114" s="6"/>
      <c r="AR114" s="6"/>
      <c r="AS114" s="6"/>
      <c r="AT114" s="6"/>
    </row>
    <row r="115" spans="3:48" x14ac:dyDescent="0.2">
      <c r="I115" s="3"/>
    </row>
    <row r="116" spans="3:48" x14ac:dyDescent="0.2">
      <c r="I116" s="3"/>
    </row>
    <row r="117" spans="3:48" x14ac:dyDescent="0.2">
      <c r="I117" s="3"/>
    </row>
    <row r="118" spans="3:48" x14ac:dyDescent="0.2">
      <c r="I118" s="3"/>
    </row>
    <row r="119" spans="3:48" x14ac:dyDescent="0.2">
      <c r="I119" s="3"/>
    </row>
    <row r="120" spans="3:48" x14ac:dyDescent="0.2">
      <c r="I120" s="3"/>
    </row>
    <row r="121" spans="3:48" x14ac:dyDescent="0.2">
      <c r="I121" s="3"/>
    </row>
    <row r="122" spans="3:48" x14ac:dyDescent="0.2">
      <c r="I122" s="3"/>
    </row>
    <row r="123" spans="3:48" x14ac:dyDescent="0.2">
      <c r="I123" s="3"/>
    </row>
    <row r="124" spans="3:48" x14ac:dyDescent="0.2">
      <c r="I124" s="6"/>
    </row>
  </sheetData>
  <sortState xmlns:xlrd2="http://schemas.microsoft.com/office/spreadsheetml/2017/richdata2" columnSort="1" ref="H6:V6">
    <sortCondition ref="H6:V6"/>
  </sortState>
  <conditionalFormatting sqref="W8">
    <cfRule type="colorScale" priority="246">
      <colorScale>
        <cfvo type="min"/>
        <cfvo type="percentile" val="50"/>
        <cfvo type="max"/>
        <color rgb="FFF8696B"/>
        <color rgb="FFFCFCFF"/>
        <color rgb="FF63BE7B"/>
      </colorScale>
    </cfRule>
  </conditionalFormatting>
  <conditionalFormatting sqref="W9">
    <cfRule type="colorScale" priority="245">
      <colorScale>
        <cfvo type="min"/>
        <cfvo type="percentile" val="50"/>
        <cfvo type="max"/>
        <color rgb="FFF8696B"/>
        <color rgb="FFFCFCFF"/>
        <color rgb="FF63BE7B"/>
      </colorScale>
    </cfRule>
  </conditionalFormatting>
  <conditionalFormatting sqref="W6">
    <cfRule type="colorScale" priority="240">
      <colorScale>
        <cfvo type="min"/>
        <cfvo type="percentile" val="50"/>
        <cfvo type="max"/>
        <color rgb="FFF8696B"/>
        <color rgb="FFFCFCFF"/>
        <color rgb="FF63BE7B"/>
      </colorScale>
    </cfRule>
  </conditionalFormatting>
  <conditionalFormatting sqref="W10">
    <cfRule type="colorScale" priority="239">
      <colorScale>
        <cfvo type="min"/>
        <cfvo type="percentile" val="50"/>
        <cfvo type="max"/>
        <color rgb="FFF8696B"/>
        <color rgb="FFFCFCFF"/>
        <color rgb="FF63BE7B"/>
      </colorScale>
    </cfRule>
  </conditionalFormatting>
  <conditionalFormatting sqref="W17:W18">
    <cfRule type="colorScale" priority="237">
      <colorScale>
        <cfvo type="min"/>
        <cfvo type="percentile" val="50"/>
        <cfvo type="max"/>
        <color rgb="FFF8696B"/>
        <color rgb="FFFCFCFF"/>
        <color rgb="FF63BE7B"/>
      </colorScale>
    </cfRule>
  </conditionalFormatting>
  <conditionalFormatting sqref="W20:W21">
    <cfRule type="colorScale" priority="236">
      <colorScale>
        <cfvo type="min"/>
        <cfvo type="percentile" val="50"/>
        <cfvo type="max"/>
        <color rgb="FF63BE7B"/>
        <color rgb="FFFCFCFF"/>
        <color rgb="FFF8696B"/>
      </colorScale>
    </cfRule>
  </conditionalFormatting>
  <conditionalFormatting sqref="W53">
    <cfRule type="colorScale" priority="235">
      <colorScale>
        <cfvo type="min"/>
        <cfvo type="percentile" val="50"/>
        <cfvo type="max"/>
        <color rgb="FFF8696B"/>
        <color rgb="FFFCFCFF"/>
        <color rgb="FF63BE7B"/>
      </colorScale>
    </cfRule>
  </conditionalFormatting>
  <conditionalFormatting sqref="W23:W24">
    <cfRule type="colorScale" priority="234">
      <colorScale>
        <cfvo type="min"/>
        <cfvo type="percentile" val="50"/>
        <cfvo type="max"/>
        <color rgb="FFF8696B"/>
        <color rgb="FFFCFCFF"/>
        <color rgb="FF63BE7B"/>
      </colorScale>
    </cfRule>
  </conditionalFormatting>
  <conditionalFormatting sqref="W49">
    <cfRule type="colorScale" priority="224">
      <colorScale>
        <cfvo type="min"/>
        <cfvo type="percentile" val="50"/>
        <cfvo type="max"/>
        <color rgb="FFF8696B"/>
        <color rgb="FFFCFCFF"/>
        <color rgb="FF63BE7B"/>
      </colorScale>
    </cfRule>
  </conditionalFormatting>
  <conditionalFormatting sqref="W50">
    <cfRule type="colorScale" priority="223">
      <colorScale>
        <cfvo type="min"/>
        <cfvo type="percentile" val="50"/>
        <cfvo type="max"/>
        <color rgb="FFF8696B"/>
        <color rgb="FFFCFCFF"/>
        <color rgb="FF63BE7B"/>
      </colorScale>
    </cfRule>
  </conditionalFormatting>
  <conditionalFormatting sqref="W52">
    <cfRule type="colorScale" priority="222">
      <colorScale>
        <cfvo type="min"/>
        <cfvo type="percentile" val="50"/>
        <cfvo type="max"/>
        <color rgb="FFF8696B"/>
        <color rgb="FFFCFCFF"/>
        <color rgb="FF63BE7B"/>
      </colorScale>
    </cfRule>
  </conditionalFormatting>
  <conditionalFormatting sqref="W47">
    <cfRule type="colorScale" priority="219">
      <colorScale>
        <cfvo type="min"/>
        <cfvo type="percentile" val="50"/>
        <cfvo type="max"/>
        <color rgb="FFF8696B"/>
        <color rgb="FFFCFCFF"/>
        <color rgb="FF63BE7B"/>
      </colorScale>
    </cfRule>
  </conditionalFormatting>
  <conditionalFormatting sqref="W8">
    <cfRule type="colorScale" priority="189">
      <colorScale>
        <cfvo type="min"/>
        <cfvo type="percentile" val="50"/>
        <cfvo type="max"/>
        <color rgb="FFF8696B"/>
        <color rgb="FFFCFCFF"/>
        <color rgb="FF63BE7B"/>
      </colorScale>
    </cfRule>
  </conditionalFormatting>
  <conditionalFormatting sqref="W9">
    <cfRule type="colorScale" priority="188">
      <colorScale>
        <cfvo type="min"/>
        <cfvo type="percentile" val="50"/>
        <cfvo type="max"/>
        <color rgb="FFF8696B"/>
        <color rgb="FFFCFCFF"/>
        <color rgb="FF63BE7B"/>
      </colorScale>
    </cfRule>
  </conditionalFormatting>
  <conditionalFormatting sqref="W10">
    <cfRule type="colorScale" priority="185">
      <colorScale>
        <cfvo type="min"/>
        <cfvo type="percentile" val="50"/>
        <cfvo type="max"/>
        <color rgb="FFF8696B"/>
        <color rgb="FFFCFCFF"/>
        <color rgb="FF63BE7B"/>
      </colorScale>
    </cfRule>
  </conditionalFormatting>
  <conditionalFormatting sqref="W11:W13">
    <cfRule type="colorScale" priority="184">
      <colorScale>
        <cfvo type="min"/>
        <cfvo type="percentile" val="50"/>
        <cfvo type="max"/>
        <color rgb="FFF8696B"/>
        <color rgb="FFFCFCFF"/>
        <color rgb="FF63BE7B"/>
      </colorScale>
    </cfRule>
  </conditionalFormatting>
  <conditionalFormatting sqref="W17">
    <cfRule type="colorScale" priority="180">
      <colorScale>
        <cfvo type="min"/>
        <cfvo type="percentile" val="50"/>
        <cfvo type="max"/>
        <color rgb="FFF8696B"/>
        <color rgb="FFFCFCFF"/>
        <color rgb="FF63BE7B"/>
      </colorScale>
    </cfRule>
  </conditionalFormatting>
  <conditionalFormatting sqref="W20:W21">
    <cfRule type="colorScale" priority="179">
      <colorScale>
        <cfvo type="min"/>
        <cfvo type="percentile" val="50"/>
        <cfvo type="max"/>
        <color rgb="FF63BE7B"/>
        <color rgb="FFFCFCFF"/>
        <color rgb="FFF8696B"/>
      </colorScale>
    </cfRule>
  </conditionalFormatting>
  <conditionalFormatting sqref="W53">
    <cfRule type="colorScale" priority="178">
      <colorScale>
        <cfvo type="min"/>
        <cfvo type="percentile" val="50"/>
        <cfvo type="max"/>
        <color rgb="FFF8696B"/>
        <color rgb="FFFCFCFF"/>
        <color rgb="FF63BE7B"/>
      </colorScale>
    </cfRule>
  </conditionalFormatting>
  <conditionalFormatting sqref="W23:W24">
    <cfRule type="colorScale" priority="177">
      <colorScale>
        <cfvo type="min"/>
        <cfvo type="percentile" val="50"/>
        <cfvo type="max"/>
        <color rgb="FFF8696B"/>
        <color rgb="FFFCFCFF"/>
        <color rgb="FF63BE7B"/>
      </colorScale>
    </cfRule>
  </conditionalFormatting>
  <conditionalFormatting sqref="W49">
    <cfRule type="colorScale" priority="174">
      <colorScale>
        <cfvo type="min"/>
        <cfvo type="percentile" val="50"/>
        <cfvo type="max"/>
        <color rgb="FFF8696B"/>
        <color rgb="FFFCFCFF"/>
        <color rgb="FF63BE7B"/>
      </colorScale>
    </cfRule>
  </conditionalFormatting>
  <conditionalFormatting sqref="W50">
    <cfRule type="colorScale" priority="173">
      <colorScale>
        <cfvo type="min"/>
        <cfvo type="percentile" val="50"/>
        <cfvo type="max"/>
        <color rgb="FFF8696B"/>
        <color rgb="FFFCFCFF"/>
        <color rgb="FF63BE7B"/>
      </colorScale>
    </cfRule>
  </conditionalFormatting>
  <conditionalFormatting sqref="W52">
    <cfRule type="colorScale" priority="172">
      <colorScale>
        <cfvo type="min"/>
        <cfvo type="percentile" val="50"/>
        <cfvo type="max"/>
        <color rgb="FFF8696B"/>
        <color rgb="FFFCFCFF"/>
        <color rgb="FF63BE7B"/>
      </colorScale>
    </cfRule>
  </conditionalFormatting>
  <conditionalFormatting sqref="W47">
    <cfRule type="colorScale" priority="142">
      <colorScale>
        <cfvo type="min"/>
        <cfvo type="percentile" val="50"/>
        <cfvo type="max"/>
        <color rgb="FFF8696B"/>
        <color rgb="FFFCFCFF"/>
        <color rgb="FF63BE7B"/>
      </colorScale>
    </cfRule>
  </conditionalFormatting>
  <conditionalFormatting sqref="W41:W43">
    <cfRule type="colorScale" priority="262">
      <colorScale>
        <cfvo type="min"/>
        <cfvo type="percentile" val="50"/>
        <cfvo type="max"/>
        <color rgb="FFF8696B"/>
        <color rgb="FFFCFCFF"/>
        <color rgb="FF63BE7B"/>
      </colorScale>
    </cfRule>
  </conditionalFormatting>
  <conditionalFormatting sqref="W40">
    <cfRule type="colorScale" priority="141">
      <colorScale>
        <cfvo type="min"/>
        <cfvo type="percentile" val="50"/>
        <cfvo type="max"/>
        <color rgb="FFF8696B"/>
        <color rgb="FFFCFCFF"/>
        <color rgb="FF63BE7B"/>
      </colorScale>
    </cfRule>
  </conditionalFormatting>
  <conditionalFormatting sqref="W42">
    <cfRule type="colorScale" priority="139">
      <colorScale>
        <cfvo type="min"/>
        <cfvo type="percentile" val="50"/>
        <cfvo type="max"/>
        <color rgb="FFF8696B"/>
        <color rgb="FFFCFCFF"/>
        <color rgb="FF63BE7B"/>
      </colorScale>
    </cfRule>
  </conditionalFormatting>
  <conditionalFormatting sqref="W42">
    <cfRule type="colorScale" priority="137">
      <colorScale>
        <cfvo type="min"/>
        <cfvo type="percentile" val="50"/>
        <cfvo type="max"/>
        <color rgb="FF63BE7B"/>
        <color rgb="FFFCFCFF"/>
        <color rgb="FFF8696B"/>
      </colorScale>
    </cfRule>
  </conditionalFormatting>
  <conditionalFormatting sqref="W43">
    <cfRule type="colorScale" priority="136">
      <colorScale>
        <cfvo type="min"/>
        <cfvo type="percentile" val="50"/>
        <cfvo type="max"/>
        <color rgb="FF63BE7B"/>
        <color rgb="FFFCFCFF"/>
        <color rgb="FFF8696B"/>
      </colorScale>
    </cfRule>
  </conditionalFormatting>
  <conditionalFormatting sqref="W44">
    <cfRule type="colorScale" priority="134">
      <colorScale>
        <cfvo type="min"/>
        <cfvo type="percentile" val="50"/>
        <cfvo type="max"/>
        <color rgb="FF63BE7B"/>
        <color rgb="FFFCFCFF"/>
        <color rgb="FFF8696B"/>
      </colorScale>
    </cfRule>
  </conditionalFormatting>
  <conditionalFormatting sqref="W7">
    <cfRule type="colorScale" priority="320">
      <colorScale>
        <cfvo type="min"/>
        <cfvo type="percentile" val="50"/>
        <cfvo type="max"/>
        <color rgb="FFF8696B"/>
        <color rgb="FFFCFCFF"/>
        <color rgb="FF63BE7B"/>
      </colorScale>
    </cfRule>
  </conditionalFormatting>
  <conditionalFormatting sqref="W7">
    <cfRule type="colorScale" priority="323">
      <colorScale>
        <cfvo type="min"/>
        <cfvo type="percentile" val="50"/>
        <cfvo type="max"/>
        <color rgb="FFF8696B"/>
        <color rgb="FFFCFCFF"/>
        <color rgb="FF63BE7B"/>
      </colorScale>
    </cfRule>
  </conditionalFormatting>
  <conditionalFormatting sqref="W16">
    <cfRule type="colorScale" priority="343">
      <colorScale>
        <cfvo type="min"/>
        <cfvo type="percentile" val="50"/>
        <cfvo type="max"/>
        <color rgb="FFF8696B"/>
        <color rgb="FFFCFCFF"/>
        <color rgb="FF63BE7B"/>
      </colorScale>
    </cfRule>
  </conditionalFormatting>
  <conditionalFormatting sqref="W27:W28">
    <cfRule type="colorScale" priority="106">
      <colorScale>
        <cfvo type="min"/>
        <cfvo type="percentile" val="50"/>
        <cfvo type="max"/>
        <color rgb="FFF8696B"/>
        <color rgb="FFFCFCFF"/>
        <color rgb="FF63BE7B"/>
      </colorScale>
    </cfRule>
  </conditionalFormatting>
  <conditionalFormatting sqref="W36:W37">
    <cfRule type="colorScale" priority="407">
      <colorScale>
        <cfvo type="min"/>
        <cfvo type="percentile" val="50"/>
        <cfvo type="max"/>
        <color rgb="FFF8696B"/>
        <color rgb="FFFCFCFF"/>
        <color rgb="FF63BE7B"/>
      </colorScale>
    </cfRule>
  </conditionalFormatting>
  <conditionalFormatting sqref="W11:W15">
    <cfRule type="colorScale" priority="411">
      <colorScale>
        <cfvo type="min"/>
        <cfvo type="percentile" val="50"/>
        <cfvo type="max"/>
        <color rgb="FFF8696B"/>
        <color rgb="FFFCFCFF"/>
        <color rgb="FF63BE7B"/>
      </colorScale>
    </cfRule>
  </conditionalFormatting>
  <conditionalFormatting sqref="W27:W32">
    <cfRule type="colorScale" priority="414">
      <colorScale>
        <cfvo type="min"/>
        <cfvo type="percentile" val="50"/>
        <cfvo type="max"/>
        <color rgb="FFF8696B"/>
        <color rgb="FFFCFCFF"/>
        <color rgb="FF63BE7B"/>
      </colorScale>
    </cfRule>
  </conditionalFormatting>
  <conditionalFormatting sqref="W26:W32">
    <cfRule type="colorScale" priority="416">
      <colorScale>
        <cfvo type="min"/>
        <cfvo type="percentile" val="50"/>
        <cfvo type="max"/>
        <color rgb="FFF8696B"/>
        <color rgb="FFFCFCFF"/>
        <color rgb="FF63BE7B"/>
      </colorScale>
    </cfRule>
  </conditionalFormatting>
  <conditionalFormatting sqref="W6">
    <cfRule type="colorScale" priority="419">
      <colorScale>
        <cfvo type="min"/>
        <cfvo type="percentile" val="50"/>
        <cfvo type="max"/>
        <color rgb="FFF8696B"/>
        <color rgb="FFFCFCFF"/>
        <color rgb="FF63BE7B"/>
      </colorScale>
    </cfRule>
  </conditionalFormatting>
  <conditionalFormatting sqref="F6:V6">
    <cfRule type="colorScale" priority="98">
      <colorScale>
        <cfvo type="min"/>
        <cfvo type="percentile" val="50"/>
        <cfvo type="max"/>
        <color rgb="FFF8696B"/>
        <color rgb="FFFCFCFF"/>
        <color rgb="FF63BE7B"/>
      </colorScale>
    </cfRule>
  </conditionalFormatting>
  <conditionalFormatting sqref="F7:V7">
    <cfRule type="colorScale" priority="97">
      <colorScale>
        <cfvo type="min"/>
        <cfvo type="percentile" val="50"/>
        <cfvo type="max"/>
        <color rgb="FFF8696B"/>
        <color rgb="FFFCFCFF"/>
        <color rgb="FF63BE7B"/>
      </colorScale>
    </cfRule>
  </conditionalFormatting>
  <conditionalFormatting sqref="F10:V10">
    <cfRule type="colorScale" priority="95">
      <colorScale>
        <cfvo type="min"/>
        <cfvo type="percentile" val="50"/>
        <cfvo type="max"/>
        <color rgb="FFF8696B"/>
        <color rgb="FFFCFCFF"/>
        <color rgb="FF63BE7B"/>
      </colorScale>
    </cfRule>
  </conditionalFormatting>
  <conditionalFormatting sqref="F11:V11">
    <cfRule type="colorScale" priority="94">
      <colorScale>
        <cfvo type="min"/>
        <cfvo type="percentile" val="50"/>
        <cfvo type="max"/>
        <color rgb="FFF8696B"/>
        <color rgb="FFFCFCFF"/>
        <color rgb="FF63BE7B"/>
      </colorScale>
    </cfRule>
  </conditionalFormatting>
  <conditionalFormatting sqref="F12:V13">
    <cfRule type="colorScale" priority="93">
      <colorScale>
        <cfvo type="min"/>
        <cfvo type="percentile" val="50"/>
        <cfvo type="max"/>
        <color rgb="FFF8696B"/>
        <color rgb="FFFCFCFF"/>
        <color rgb="FF63BE7B"/>
      </colorScale>
    </cfRule>
  </conditionalFormatting>
  <conditionalFormatting sqref="F14:V15">
    <cfRule type="colorScale" priority="92">
      <colorScale>
        <cfvo type="min"/>
        <cfvo type="percentile" val="50"/>
        <cfvo type="max"/>
        <color rgb="FFF8696B"/>
        <color rgb="FFFCFCFF"/>
        <color rgb="FF63BE7B"/>
      </colorScale>
    </cfRule>
  </conditionalFormatting>
  <conditionalFormatting sqref="F16:V16">
    <cfRule type="colorScale" priority="91">
      <colorScale>
        <cfvo type="min"/>
        <cfvo type="percentile" val="50"/>
        <cfvo type="max"/>
        <color rgb="FFF8696B"/>
        <color rgb="FFFCFCFF"/>
        <color rgb="FF63BE7B"/>
      </colorScale>
    </cfRule>
  </conditionalFormatting>
  <conditionalFormatting sqref="F18:V18 F19:W19">
    <cfRule type="colorScale" priority="90">
      <colorScale>
        <cfvo type="min"/>
        <cfvo type="percentile" val="50"/>
        <cfvo type="max"/>
        <color rgb="FFF8696B"/>
        <color rgb="FFFCFCFF"/>
        <color rgb="FF63BE7B"/>
      </colorScale>
    </cfRule>
  </conditionalFormatting>
  <conditionalFormatting sqref="F20:V21">
    <cfRule type="colorScale" priority="89">
      <colorScale>
        <cfvo type="min"/>
        <cfvo type="percentile" val="50"/>
        <cfvo type="max"/>
        <color rgb="FFF8696B"/>
        <color rgb="FFFCFCFF"/>
        <color rgb="FF63BE7B"/>
      </colorScale>
    </cfRule>
  </conditionalFormatting>
  <conditionalFormatting sqref="F22:V22">
    <cfRule type="colorScale" priority="88">
      <colorScale>
        <cfvo type="min"/>
        <cfvo type="percentile" val="50"/>
        <cfvo type="max"/>
        <color rgb="FF63BE7B"/>
        <color rgb="FFFCFCFF"/>
        <color rgb="FFF8696B"/>
      </colorScale>
    </cfRule>
  </conditionalFormatting>
  <conditionalFormatting sqref="F23:V23">
    <cfRule type="colorScale" priority="87">
      <colorScale>
        <cfvo type="min"/>
        <cfvo type="percentile" val="50"/>
        <cfvo type="max"/>
        <color rgb="FF63BE7B"/>
        <color rgb="FFFCFCFF"/>
        <color rgb="FFF8696B"/>
      </colorScale>
    </cfRule>
  </conditionalFormatting>
  <conditionalFormatting sqref="F24:V24">
    <cfRule type="colorScale" priority="86">
      <colorScale>
        <cfvo type="min"/>
        <cfvo type="percentile" val="50"/>
        <cfvo type="max"/>
        <color rgb="FFF8696B"/>
        <color rgb="FFFCFCFF"/>
        <color rgb="FF63BE7B"/>
      </colorScale>
    </cfRule>
  </conditionalFormatting>
  <conditionalFormatting sqref="F25:V25">
    <cfRule type="colorScale" priority="85">
      <colorScale>
        <cfvo type="min"/>
        <cfvo type="percentile" val="50"/>
        <cfvo type="max"/>
        <color rgb="FFF8696B"/>
        <color rgb="FFFCFCFF"/>
        <color rgb="FF63BE7B"/>
      </colorScale>
    </cfRule>
  </conditionalFormatting>
  <conditionalFormatting sqref="I26:V26 F26:G26 G27:G29">
    <cfRule type="colorScale" priority="84">
      <colorScale>
        <cfvo type="min"/>
        <cfvo type="percentile" val="50"/>
        <cfvo type="max"/>
        <color rgb="FFF8696B"/>
        <color rgb="FFFCFCFF"/>
        <color rgb="FF63BE7B"/>
      </colorScale>
    </cfRule>
  </conditionalFormatting>
  <conditionalFormatting sqref="F31:V31 F32:F35">
    <cfRule type="colorScale" priority="83">
      <colorScale>
        <cfvo type="min"/>
        <cfvo type="percentile" val="50"/>
        <cfvo type="max"/>
        <color rgb="FFF8696B"/>
        <color rgb="FFFCFCFF"/>
        <color rgb="FF63BE7B"/>
      </colorScale>
    </cfRule>
  </conditionalFormatting>
  <conditionalFormatting sqref="G32:V32">
    <cfRule type="colorScale" priority="82">
      <colorScale>
        <cfvo type="min"/>
        <cfvo type="percentile" val="50"/>
        <cfvo type="max"/>
        <color rgb="FFF8696B"/>
        <color rgb="FFFCFCFF"/>
        <color rgb="FF63BE7B"/>
      </colorScale>
    </cfRule>
  </conditionalFormatting>
  <conditionalFormatting sqref="G33:V33">
    <cfRule type="colorScale" priority="81">
      <colorScale>
        <cfvo type="min"/>
        <cfvo type="percentile" val="50"/>
        <cfvo type="max"/>
        <color rgb="FF63BE7B"/>
        <color rgb="FFFCFCFF"/>
        <color rgb="FFF8696B"/>
      </colorScale>
    </cfRule>
  </conditionalFormatting>
  <conditionalFormatting sqref="G34:V34">
    <cfRule type="colorScale" priority="80">
      <colorScale>
        <cfvo type="min"/>
        <cfvo type="percentile" val="50"/>
        <cfvo type="max"/>
        <color rgb="FFF8696B"/>
        <color rgb="FFFCFCFF"/>
        <color rgb="FF63BE7B"/>
      </colorScale>
    </cfRule>
  </conditionalFormatting>
  <conditionalFormatting sqref="G35:V35">
    <cfRule type="colorScale" priority="77">
      <colorScale>
        <cfvo type="min"/>
        <cfvo type="percentile" val="50"/>
        <cfvo type="max"/>
        <color rgb="FF63BE7B"/>
        <color rgb="FFFCFCFF"/>
        <color rgb="FFF8696B"/>
      </colorScale>
    </cfRule>
  </conditionalFormatting>
  <conditionalFormatting sqref="W34">
    <cfRule type="cellIs" dxfId="2" priority="68" operator="greaterThan">
      <formula>0.05</formula>
    </cfRule>
  </conditionalFormatting>
  <conditionalFormatting sqref="W35">
    <cfRule type="cellIs" dxfId="1" priority="67" operator="greaterThan">
      <formula>0.1</formula>
    </cfRule>
  </conditionalFormatting>
  <conditionalFormatting sqref="F37:V37 F38:F42">
    <cfRule type="colorScale" priority="65">
      <colorScale>
        <cfvo type="min"/>
        <cfvo type="percentile" val="50"/>
        <cfvo type="max"/>
        <color rgb="FFF8696B"/>
        <color rgb="FFFCFCFF"/>
        <color rgb="FF63BE7B"/>
      </colorScale>
    </cfRule>
  </conditionalFormatting>
  <conditionalFormatting sqref="G38:V38">
    <cfRule type="colorScale" priority="64">
      <colorScale>
        <cfvo type="min"/>
        <cfvo type="percentile" val="50"/>
        <cfvo type="max"/>
        <color rgb="FFF8696B"/>
        <color rgb="FFFCFCFF"/>
        <color rgb="FF63BE7B"/>
      </colorScale>
    </cfRule>
  </conditionalFormatting>
  <conditionalFormatting sqref="W51">
    <cfRule type="colorScale" priority="48">
      <colorScale>
        <cfvo type="min"/>
        <cfvo type="percentile" val="50"/>
        <cfvo type="max"/>
        <color rgb="FFF8696B"/>
        <color rgb="FFFCFCFF"/>
        <color rgb="FF63BE7B"/>
      </colorScale>
    </cfRule>
  </conditionalFormatting>
  <conditionalFormatting sqref="F53:V53 F54:F57">
    <cfRule type="colorScale" priority="47">
      <colorScale>
        <cfvo type="min"/>
        <cfvo type="percentile" val="50"/>
        <cfvo type="max"/>
        <color rgb="FFF8696B"/>
        <color rgb="FFFCFCFF"/>
        <color rgb="FF63BE7B"/>
      </colorScale>
    </cfRule>
  </conditionalFormatting>
  <conditionalFormatting sqref="G54:V54">
    <cfRule type="colorScale" priority="46">
      <colorScale>
        <cfvo type="min"/>
        <cfvo type="percentile" val="50"/>
        <cfvo type="max"/>
        <color rgb="FFF8696B"/>
        <color rgb="FFFCFCFF"/>
        <color rgb="FF63BE7B"/>
      </colorScale>
    </cfRule>
  </conditionalFormatting>
  <conditionalFormatting sqref="G55:V55">
    <cfRule type="colorScale" priority="45">
      <colorScale>
        <cfvo type="min"/>
        <cfvo type="percentile" val="50"/>
        <cfvo type="max"/>
        <color rgb="FFF8696B"/>
        <color rgb="FFFCFCFF"/>
        <color rgb="FF63BE7B"/>
      </colorScale>
    </cfRule>
  </conditionalFormatting>
  <conditionalFormatting sqref="AY56:AY57 G56:V57">
    <cfRule type="colorScale" priority="44">
      <colorScale>
        <cfvo type="min"/>
        <cfvo type="percentile" val="50"/>
        <cfvo type="max"/>
        <color rgb="FFF8696B"/>
        <color rgb="FFFCFCFF"/>
        <color rgb="FF63BE7B"/>
      </colorScale>
    </cfRule>
  </conditionalFormatting>
  <conditionalFormatting sqref="F8:V8">
    <cfRule type="colorScale" priority="43">
      <colorScale>
        <cfvo type="min"/>
        <cfvo type="percentile" val="50"/>
        <cfvo type="max"/>
        <color rgb="FFF8696B"/>
        <color rgb="FFFCFCFF"/>
        <color rgb="FF63BE7B"/>
      </colorScale>
    </cfRule>
  </conditionalFormatting>
  <conditionalFormatting sqref="F9:V9">
    <cfRule type="colorScale" priority="42">
      <colorScale>
        <cfvo type="min"/>
        <cfvo type="percentile" val="50"/>
        <cfvo type="max"/>
        <color rgb="FFF8696B"/>
        <color rgb="FFFCFCFF"/>
        <color rgb="FF63BE7B"/>
      </colorScale>
    </cfRule>
  </conditionalFormatting>
  <conditionalFormatting sqref="G39:V39">
    <cfRule type="colorScale" priority="40">
      <colorScale>
        <cfvo type="min"/>
        <cfvo type="percentile" val="50"/>
        <cfvo type="max"/>
        <color rgb="FFF8696B"/>
        <color rgb="FFFCFCFF"/>
        <color rgb="FF63BE7B"/>
      </colorScale>
    </cfRule>
  </conditionalFormatting>
  <conditionalFormatting sqref="G40:V40">
    <cfRule type="colorScale" priority="39">
      <colorScale>
        <cfvo type="min"/>
        <cfvo type="percentile" val="50"/>
        <cfvo type="max"/>
        <color rgb="FFF8696B"/>
        <color rgb="FFFCFCFF"/>
        <color rgb="FF63BE7B"/>
      </colorScale>
    </cfRule>
  </conditionalFormatting>
  <conditionalFormatting sqref="G41:V41">
    <cfRule type="colorScale" priority="38">
      <colorScale>
        <cfvo type="min"/>
        <cfvo type="percentile" val="50"/>
        <cfvo type="max"/>
        <color rgb="FFF8696B"/>
        <color rgb="FFFCFCFF"/>
        <color rgb="FF63BE7B"/>
      </colorScale>
    </cfRule>
  </conditionalFormatting>
  <conditionalFormatting sqref="H27:V28 F27:G29">
    <cfRule type="colorScale" priority="37">
      <colorScale>
        <cfvo type="min"/>
        <cfvo type="percentile" val="50"/>
        <cfvo type="max"/>
        <color rgb="FFF8696B"/>
        <color rgb="FFFCFCFF"/>
        <color rgb="FF63BE7B"/>
      </colorScale>
    </cfRule>
  </conditionalFormatting>
  <conditionalFormatting sqref="H29:V29">
    <cfRule type="colorScale" priority="36">
      <colorScale>
        <cfvo type="min"/>
        <cfvo type="percentile" val="50"/>
        <cfvo type="max"/>
        <color rgb="FFF8696B"/>
        <color rgb="FFFCFCFF"/>
        <color rgb="FF63BE7B"/>
      </colorScale>
    </cfRule>
  </conditionalFormatting>
  <conditionalFormatting sqref="H2:J2">
    <cfRule type="cellIs" dxfId="0" priority="33" stopIfTrue="1" operator="lessThan">
      <formula>0</formula>
    </cfRule>
  </conditionalFormatting>
  <conditionalFormatting sqref="F37:V37">
    <cfRule type="colorScale" priority="11">
      <colorScale>
        <cfvo type="min"/>
        <cfvo type="percentile" val="50"/>
        <cfvo type="max"/>
        <color rgb="FFF8696B"/>
        <color rgb="FFFCFCFF"/>
        <color rgb="FF63BE7B"/>
      </colorScale>
    </cfRule>
  </conditionalFormatting>
  <conditionalFormatting sqref="F38:V38">
    <cfRule type="colorScale" priority="10">
      <colorScale>
        <cfvo type="min"/>
        <cfvo type="percentile" val="50"/>
        <cfvo type="max"/>
        <color rgb="FFF8696B"/>
        <color rgb="FFFCFCFF"/>
        <color rgb="FF63BE7B"/>
      </colorScale>
    </cfRule>
  </conditionalFormatting>
  <conditionalFormatting sqref="F39:V39">
    <cfRule type="colorScale" priority="30">
      <colorScale>
        <cfvo type="min"/>
        <cfvo type="percentile" val="50"/>
        <cfvo type="max"/>
        <color rgb="FFF8696B"/>
        <color rgb="FFFCFCFF"/>
        <color rgb="FF63BE7B"/>
      </colorScale>
    </cfRule>
  </conditionalFormatting>
  <conditionalFormatting sqref="F40:V40">
    <cfRule type="colorScale" priority="29">
      <colorScale>
        <cfvo type="min"/>
        <cfvo type="percentile" val="50"/>
        <cfvo type="max"/>
        <color rgb="FFF8696B"/>
        <color rgb="FFFCFCFF"/>
        <color rgb="FF63BE7B"/>
      </colorScale>
    </cfRule>
  </conditionalFormatting>
  <conditionalFormatting sqref="F41:V41">
    <cfRule type="colorScale" priority="28">
      <colorScale>
        <cfvo type="min"/>
        <cfvo type="percentile" val="50"/>
        <cfvo type="max"/>
        <color rgb="FFF8696B"/>
        <color rgb="FFFCFCFF"/>
        <color rgb="FF63BE7B"/>
      </colorScale>
    </cfRule>
  </conditionalFormatting>
  <conditionalFormatting sqref="F43:V43">
    <cfRule type="colorScale" priority="27">
      <colorScale>
        <cfvo type="min"/>
        <cfvo type="percentile" val="50"/>
        <cfvo type="max"/>
        <color rgb="FFF8696B"/>
        <color rgb="FFFCFCFF"/>
        <color rgb="FF63BE7B"/>
      </colorScale>
    </cfRule>
  </conditionalFormatting>
  <conditionalFormatting sqref="F44:V44">
    <cfRule type="colorScale" priority="26">
      <colorScale>
        <cfvo type="min"/>
        <cfvo type="percentile" val="50"/>
        <cfvo type="max"/>
        <color rgb="FFF8696B"/>
        <color rgb="FFFCFCFF"/>
        <color rgb="FF63BE7B"/>
      </colorScale>
    </cfRule>
  </conditionalFormatting>
  <conditionalFormatting sqref="F45:V45">
    <cfRule type="colorScale" priority="25">
      <colorScale>
        <cfvo type="min"/>
        <cfvo type="percentile" val="50"/>
        <cfvo type="max"/>
        <color rgb="FFF8696B"/>
        <color rgb="FFFCFCFF"/>
        <color rgb="FF63BE7B"/>
      </colorScale>
    </cfRule>
  </conditionalFormatting>
  <conditionalFormatting sqref="F46:V46">
    <cfRule type="colorScale" priority="24">
      <colorScale>
        <cfvo type="min"/>
        <cfvo type="percentile" val="50"/>
        <cfvo type="max"/>
        <color rgb="FFF8696B"/>
        <color rgb="FFFCFCFF"/>
        <color rgb="FF63BE7B"/>
      </colorScale>
    </cfRule>
  </conditionalFormatting>
  <conditionalFormatting sqref="F47:V47">
    <cfRule type="colorScale" priority="23">
      <colorScale>
        <cfvo type="min"/>
        <cfvo type="percentile" val="50"/>
        <cfvo type="max"/>
        <color rgb="FF63BE7B"/>
        <color rgb="FFFCFCFF"/>
        <color rgb="FFF8696B"/>
      </colorScale>
    </cfRule>
  </conditionalFormatting>
  <conditionalFormatting sqref="F48:V48">
    <cfRule type="colorScale" priority="22">
      <colorScale>
        <cfvo type="min"/>
        <cfvo type="percentile" val="50"/>
        <cfvo type="max"/>
        <color rgb="FF63BE7B"/>
        <color rgb="FFFCFCFF"/>
        <color rgb="FFF8696B"/>
      </colorScale>
    </cfRule>
  </conditionalFormatting>
  <conditionalFormatting sqref="F49:V49">
    <cfRule type="colorScale" priority="21">
      <colorScale>
        <cfvo type="min"/>
        <cfvo type="percentile" val="50"/>
        <cfvo type="max"/>
        <color rgb="FF63BE7B"/>
        <color rgb="FFFCFCFF"/>
        <color rgb="FFF8696B"/>
      </colorScale>
    </cfRule>
  </conditionalFormatting>
  <conditionalFormatting sqref="F50:V50">
    <cfRule type="colorScale" priority="19">
      <colorScale>
        <cfvo type="min"/>
        <cfvo type="percentile" val="50"/>
        <cfvo type="max"/>
        <color rgb="FFF8696B"/>
        <color rgb="FFFCFCFF"/>
        <color rgb="FF63BE7B"/>
      </colorScale>
    </cfRule>
  </conditionalFormatting>
  <conditionalFormatting sqref="F58:V58">
    <cfRule type="colorScale" priority="17">
      <colorScale>
        <cfvo type="min"/>
        <cfvo type="percentile" val="50"/>
        <cfvo type="max"/>
        <color rgb="FFF8696B"/>
        <color rgb="FFFCFCFF"/>
        <color rgb="FF63BE7B"/>
      </colorScale>
    </cfRule>
  </conditionalFormatting>
  <conditionalFormatting sqref="F51:V51">
    <cfRule type="colorScale" priority="16">
      <colorScale>
        <cfvo type="min"/>
        <cfvo type="percentile" val="50"/>
        <cfvo type="max"/>
        <color rgb="FF63BE7B"/>
        <color rgb="FFFCFCFF"/>
        <color rgb="FFF8696B"/>
      </colorScale>
    </cfRule>
  </conditionalFormatting>
  <conditionalFormatting sqref="F31:V31">
    <cfRule type="colorScale" priority="15">
      <colorScale>
        <cfvo type="min"/>
        <cfvo type="percentile" val="50"/>
        <cfvo type="max"/>
        <color rgb="FFF8696B"/>
        <color rgb="FFFCFCFF"/>
        <color rgb="FF63BE7B"/>
      </colorScale>
    </cfRule>
  </conditionalFormatting>
  <conditionalFormatting sqref="F32:V32">
    <cfRule type="colorScale" priority="14">
      <colorScale>
        <cfvo type="min"/>
        <cfvo type="percentile" val="50"/>
        <cfvo type="max"/>
        <color rgb="FFF8696B"/>
        <color rgb="FFFCFCFF"/>
        <color rgb="FF63BE7B"/>
      </colorScale>
    </cfRule>
  </conditionalFormatting>
  <conditionalFormatting sqref="F33:V33">
    <cfRule type="colorScale" priority="13">
      <colorScale>
        <cfvo type="min"/>
        <cfvo type="percentile" val="50"/>
        <cfvo type="max"/>
        <color rgb="FF63BE7B"/>
        <color rgb="FFFCFCFF"/>
        <color rgb="FFF8696B"/>
      </colorScale>
    </cfRule>
  </conditionalFormatting>
  <conditionalFormatting sqref="F34:V34">
    <cfRule type="colorScale" priority="12">
      <colorScale>
        <cfvo type="min"/>
        <cfvo type="percentile" val="50"/>
        <cfvo type="max"/>
        <color rgb="FFF8696B"/>
        <color rgb="FFFCFCFF"/>
        <color rgb="FF63BE7B"/>
      </colorScale>
    </cfRule>
  </conditionalFormatting>
  <conditionalFormatting sqref="F53:V53">
    <cfRule type="colorScale" priority="6">
      <colorScale>
        <cfvo type="min"/>
        <cfvo type="percentile" val="50"/>
        <cfvo type="max"/>
        <color rgb="FFF8696B"/>
        <color rgb="FFFCFCFF"/>
        <color rgb="FF63BE7B"/>
      </colorScale>
    </cfRule>
  </conditionalFormatting>
  <conditionalFormatting sqref="F54:V54">
    <cfRule type="colorScale" priority="8">
      <colorScale>
        <cfvo type="min"/>
        <cfvo type="percentile" val="50"/>
        <cfvo type="max"/>
        <color rgb="FFF8696B"/>
        <color rgb="FFFCFCFF"/>
        <color rgb="FF63BE7B"/>
      </colorScale>
    </cfRule>
  </conditionalFormatting>
  <conditionalFormatting sqref="F55:V55">
    <cfRule type="colorScale" priority="7">
      <colorScale>
        <cfvo type="min"/>
        <cfvo type="percentile" val="50"/>
        <cfvo type="max"/>
        <color rgb="FFF8696B"/>
        <color rgb="FFFCFCFF"/>
        <color rgb="FF63BE7B"/>
      </colorScale>
    </cfRule>
  </conditionalFormatting>
  <conditionalFormatting sqref="H21:V21">
    <cfRule type="colorScale" priority="4">
      <colorScale>
        <cfvo type="min"/>
        <cfvo type="percentile" val="50"/>
        <cfvo type="max"/>
        <color rgb="FF63BE7B"/>
        <color rgb="FFFCFCFF"/>
        <color rgb="FFF8696B"/>
      </colorScale>
    </cfRule>
  </conditionalFormatting>
  <conditionalFormatting sqref="H19:W19">
    <cfRule type="colorScale" priority="3">
      <colorScale>
        <cfvo type="min"/>
        <cfvo type="percentile" val="50"/>
        <cfvo type="max"/>
        <color rgb="FFF8696B"/>
        <color rgb="FFFCFCFF"/>
        <color rgb="FF63BE7B"/>
      </colorScale>
    </cfRule>
  </conditionalFormatting>
  <conditionalFormatting sqref="H28:V28">
    <cfRule type="colorScale" priority="2">
      <colorScale>
        <cfvo type="min"/>
        <cfvo type="percentile" val="50"/>
        <cfvo type="max"/>
        <color rgb="FF63BE7B"/>
        <color rgb="FFFCFCFF"/>
        <color rgb="FFF8696B"/>
      </colorScale>
    </cfRule>
  </conditionalFormatting>
  <conditionalFormatting sqref="H13:V13">
    <cfRule type="colorScale" priority="1">
      <colorScale>
        <cfvo type="min"/>
        <cfvo type="percentile" val="50"/>
        <cfvo type="max"/>
        <color rgb="FF63BE7B"/>
        <color rgb="FFFCFCFF"/>
        <color rgb="FFF8696B"/>
      </colorScale>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5F651232-4ED0-7241-B537-6F8F5BE754F0}">
          <xm:f>HBook!$H$2</xm:f>
        </x15:webExtension>
        <x15:webExtension appRef="{C0550556-AB09-0142-85B1-674F35B4514F}">
          <xm:f>HBook!$H$2</xm:f>
        </x15:webExtension>
        <x15:webExtension appRef="{F39B801E-A2DA-1F45-A525-9EAF5ED600EE}">
          <xm:f>HBook!$I$2</xm:f>
        </x15:webExtension>
        <x15:webExtension appRef="{CEEFB261-C9BF-944A-9CC1-9C7ECF741CD5}">
          <xm:f>HBook!$I$2</xm:f>
        </x15:webExtension>
        <x15:webExtension appRef="{BA1C8645-AE1E-D848-BBBA-428B60499A69}">
          <xm:f>HBook!$J$2</xm:f>
        </x15:webExtension>
        <x15:webExtension appRef="{BCDDC7ED-B058-2A40-8B7B-32E2DDC42158}">
          <xm:f>HBook!$J$2</xm:f>
        </x15:webExtension>
        <x15:webExtension appRef="{71E5784A-B1E7-FE4E-A4CD-289EB353DC65}">
          <xm:f>HBook!$J$2</xm:f>
        </x15:webExtension>
        <x15:webExtension appRef="{AF2EC124-CC00-3048-8B29-AFC3FD891D7B}">
          <xm:f>HBook!$J$2</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2C8B1-954D-7F4F-96F4-556AA697041C}">
  <sheetPr codeName="Sheet3">
    <tabColor theme="3" tint="0.499984740745262"/>
  </sheetPr>
  <dimension ref="A1:AB53"/>
  <sheetViews>
    <sheetView workbookViewId="0">
      <selection activeCell="F22" sqref="F22"/>
    </sheetView>
  </sheetViews>
  <sheetFormatPr baseColWidth="10" defaultRowHeight="16" x14ac:dyDescent="0.2"/>
  <cols>
    <col min="1" max="1" width="19.83203125" customWidth="1"/>
    <col min="2" max="2" width="12.6640625" customWidth="1"/>
    <col min="3" max="3" width="5.33203125" customWidth="1"/>
    <col min="4" max="4" width="26.83203125" customWidth="1"/>
  </cols>
  <sheetData>
    <row r="1" spans="1:28" x14ac:dyDescent="0.2">
      <c r="A1" s="6"/>
      <c r="B1" s="6"/>
      <c r="C1" s="6"/>
      <c r="D1" s="6"/>
      <c r="E1" s="6">
        <v>1</v>
      </c>
      <c r="F1" s="6">
        <v>2</v>
      </c>
      <c r="G1" s="6">
        <v>3</v>
      </c>
      <c r="H1" s="6">
        <v>4</v>
      </c>
      <c r="I1" s="6">
        <v>5</v>
      </c>
      <c r="J1" s="6">
        <v>6</v>
      </c>
      <c r="K1" s="6">
        <v>7</v>
      </c>
      <c r="L1" s="6">
        <v>8</v>
      </c>
      <c r="M1" s="6">
        <v>9</v>
      </c>
      <c r="N1" s="6">
        <v>10</v>
      </c>
      <c r="O1" s="6">
        <v>11</v>
      </c>
      <c r="P1" s="6">
        <v>12</v>
      </c>
      <c r="Q1" s="6">
        <v>13</v>
      </c>
      <c r="R1" s="6">
        <v>14</v>
      </c>
      <c r="S1" s="6">
        <v>15</v>
      </c>
      <c r="T1" s="6">
        <v>16</v>
      </c>
      <c r="U1" s="6">
        <v>17</v>
      </c>
      <c r="V1" s="6">
        <v>18</v>
      </c>
      <c r="W1" s="6">
        <v>19</v>
      </c>
      <c r="X1" s="6">
        <v>20</v>
      </c>
      <c r="Y1" s="6">
        <v>21</v>
      </c>
      <c r="Z1" s="6"/>
      <c r="AA1" s="6"/>
      <c r="AB1" s="6"/>
    </row>
    <row r="2" spans="1:28" x14ac:dyDescent="0.2">
      <c r="A2" t="s">
        <v>218</v>
      </c>
      <c r="B2" s="11" t="s">
        <v>485</v>
      </c>
      <c r="C2" s="6"/>
      <c r="D2" t="s">
        <v>219</v>
      </c>
      <c r="E2" s="35">
        <f>(E16+E18-E19)/E36</f>
        <v>65.423728813559322</v>
      </c>
      <c r="F2" s="6"/>
      <c r="G2" s="6"/>
      <c r="H2" s="6"/>
      <c r="I2" s="6"/>
      <c r="J2" s="6"/>
      <c r="K2" s="6"/>
      <c r="L2" s="6"/>
      <c r="M2" s="6"/>
      <c r="N2" s="6"/>
      <c r="O2" s="6"/>
      <c r="P2" s="6"/>
      <c r="Q2" s="6"/>
      <c r="R2" s="6"/>
      <c r="S2" s="6"/>
      <c r="T2" s="6"/>
      <c r="U2" s="6"/>
      <c r="V2" s="6"/>
      <c r="W2" s="6"/>
      <c r="X2" s="6"/>
      <c r="Y2" s="6"/>
      <c r="Z2" s="6"/>
      <c r="AA2" s="6"/>
      <c r="AB2" s="6"/>
    </row>
    <row r="3" spans="1:28" x14ac:dyDescent="0.2">
      <c r="A3" s="6"/>
      <c r="B3" s="6"/>
      <c r="C3" s="6"/>
      <c r="D3" s="6"/>
      <c r="E3" s="6"/>
      <c r="F3" s="6"/>
      <c r="G3" s="6"/>
      <c r="H3" s="6"/>
      <c r="I3" s="6"/>
      <c r="J3" s="6"/>
      <c r="K3" s="6"/>
      <c r="L3" s="6"/>
      <c r="M3" s="6"/>
      <c r="N3" s="6"/>
      <c r="O3" s="6"/>
      <c r="P3" s="6"/>
      <c r="Q3" s="6"/>
      <c r="R3" s="6"/>
      <c r="S3" s="6"/>
      <c r="T3" s="6"/>
      <c r="U3" s="6"/>
      <c r="V3" s="6"/>
      <c r="W3" s="6"/>
      <c r="X3" s="6"/>
      <c r="Y3" s="6"/>
      <c r="Z3" s="6"/>
      <c r="AA3" s="6"/>
      <c r="AB3" s="6"/>
    </row>
    <row r="4" spans="1:28" x14ac:dyDescent="0.2">
      <c r="A4" s="6"/>
      <c r="B4" s="6"/>
      <c r="C4" s="6"/>
      <c r="D4" t="s">
        <v>43</v>
      </c>
      <c r="E4" t="str">
        <f>QData!B5</f>
        <v>Q2 2025</v>
      </c>
      <c r="F4" t="str">
        <f>QData!C5</f>
        <v>Q1 2025</v>
      </c>
      <c r="G4" t="str">
        <f>QData!D5</f>
        <v>Q4 2024</v>
      </c>
      <c r="H4" t="str">
        <f>QData!E5</f>
        <v>Q3 2024</v>
      </c>
      <c r="I4" t="str">
        <f>QData!F5</f>
        <v>Q2 2024</v>
      </c>
      <c r="J4" t="str">
        <f>QData!G5</f>
        <v>Q1 2024</v>
      </c>
      <c r="K4" t="str">
        <f>QData!H5</f>
        <v>Q4 2023</v>
      </c>
      <c r="L4" t="str">
        <f>QData!I5</f>
        <v>Q3 2023</v>
      </c>
      <c r="M4" t="str">
        <f>QData!J5</f>
        <v>Q2 2023</v>
      </c>
      <c r="N4" t="str">
        <f>QData!K5</f>
        <v>Q1 2023</v>
      </c>
      <c r="O4" t="str">
        <f>QData!L5</f>
        <v>Q4 2022</v>
      </c>
      <c r="P4" t="str">
        <f>QData!M5</f>
        <v>Q3 2022</v>
      </c>
      <c r="Q4" t="str">
        <f>QData!N5</f>
        <v>Q2 2022</v>
      </c>
      <c r="R4" t="str">
        <f>QData!O5</f>
        <v>Q1 2022</v>
      </c>
      <c r="S4" t="str">
        <f>QData!P5</f>
        <v>Q4 2021</v>
      </c>
      <c r="T4" t="str">
        <f>QData!Q5</f>
        <v>Q3 2021</v>
      </c>
      <c r="U4" t="str">
        <f>QData!R5</f>
        <v>Q2 2021</v>
      </c>
      <c r="V4" t="str">
        <f>QData!S5</f>
        <v>Q1 2021</v>
      </c>
      <c r="W4" t="str">
        <f>QData!T5</f>
        <v>Q4 2020</v>
      </c>
      <c r="X4" t="str">
        <f>QData!U5</f>
        <v>Q3 2020</v>
      </c>
      <c r="Y4" s="6"/>
      <c r="Z4" s="6"/>
      <c r="AA4" s="6"/>
      <c r="AB4" s="6"/>
    </row>
    <row r="5" spans="1:28" ht="19" x14ac:dyDescent="0.25">
      <c r="A5" s="6"/>
      <c r="B5" s="26"/>
      <c r="C5" s="26"/>
      <c r="D5" s="7" t="s">
        <v>0</v>
      </c>
      <c r="E5" s="6"/>
      <c r="F5" s="6"/>
      <c r="G5" s="6"/>
      <c r="H5" s="6"/>
      <c r="I5" s="6"/>
      <c r="J5" s="6"/>
      <c r="K5" s="6"/>
      <c r="L5" s="6"/>
      <c r="M5" s="6"/>
      <c r="N5" s="6"/>
      <c r="O5" s="6"/>
      <c r="P5" s="6"/>
      <c r="Q5" s="6"/>
      <c r="R5" s="6"/>
      <c r="S5" s="6"/>
      <c r="T5" s="6"/>
      <c r="U5" s="6"/>
      <c r="V5" s="6"/>
      <c r="W5" s="6"/>
      <c r="X5" s="6"/>
      <c r="Y5" s="6"/>
      <c r="Z5" s="6"/>
      <c r="AA5" s="6"/>
      <c r="AB5" s="6"/>
    </row>
    <row r="6" spans="1:28" x14ac:dyDescent="0.2">
      <c r="A6" s="6"/>
      <c r="B6" s="26"/>
      <c r="C6" s="26"/>
      <c r="D6" s="25" t="s">
        <v>32</v>
      </c>
      <c r="E6">
        <f>VLOOKUP(D6,QData!$A$1:$V$162,F1,FALSE)</f>
        <v>1330</v>
      </c>
      <c r="F6">
        <f>VLOOKUP($D6,QData!$A$1:$V$162,G1,FALSE)</f>
        <v>1077</v>
      </c>
      <c r="G6">
        <f>VLOOKUP($D6,QData!$A$1:$V$162,H1,FALSE)</f>
        <v>1232</v>
      </c>
      <c r="H6">
        <f>VLOOKUP($D6,QData!$A$1:$V$162,I1,FALSE)</f>
        <v>1355</v>
      </c>
      <c r="I6">
        <f>VLOOKUP($D6,QData!$A$1:$V$162,J1,FALSE)</f>
        <v>1430</v>
      </c>
      <c r="J6">
        <f>VLOOKUP($D6,QData!$A$1:$V$162,K1,FALSE)</f>
        <v>1361</v>
      </c>
      <c r="K6">
        <f>VLOOKUP($D6,QData!$A$1:$V$162,L1,FALSE)</f>
        <v>2356</v>
      </c>
      <c r="L6">
        <f>VLOOKUP($D6,QData!$A$1:$V$162,M1,FALSE)</f>
        <v>2311</v>
      </c>
      <c r="M6">
        <f>VLOOKUP($D6,QData!$A$1:$V$162,N1,FALSE)</f>
        <v>2370</v>
      </c>
      <c r="N6">
        <f>VLOOKUP($D6,QData!$A$1:$V$162,O1,FALSE)</f>
        <v>2580</v>
      </c>
      <c r="O6">
        <f>VLOOKUP($D6,QData!$A$1:$V$162,P1,FALSE)</f>
        <v>2621</v>
      </c>
      <c r="P6">
        <f>VLOOKUP($D6,QData!$A$1:$V$162,Q1,FALSE)</f>
        <v>2092</v>
      </c>
      <c r="Q6">
        <f>VLOOKUP($D6,QData!$A$1:$V$162,R1,FALSE)</f>
        <v>1480</v>
      </c>
      <c r="R6">
        <f>VLOOKUP($D6,QData!$A$1:$V$162,S1,FALSE)</f>
        <v>1128</v>
      </c>
      <c r="S6">
        <f>VLOOKUP($D6,QData!$A$1:$V$162,T1,FALSE)</f>
        <v>894.2</v>
      </c>
      <c r="T6">
        <f>VLOOKUP($D6,QData!$A$1:$V$162,U1,FALSE)</f>
        <v>830.57</v>
      </c>
      <c r="U6">
        <f>VLOOKUP($D6,QData!$A$1:$V$162,V1,FALSE)</f>
        <v>773.9</v>
      </c>
      <c r="V6">
        <f>VLOOKUP($D6,QData!$A$1:$V$162,W1,FALSE)</f>
        <v>829.29</v>
      </c>
      <c r="W6">
        <f>VLOOKUP($D6,QData!$A$1:$V$162,X1,FALSE)</f>
        <v>879.15</v>
      </c>
      <c r="X6">
        <f>VLOOKUP($D6,QData!$A$1:$V$162,Y1,FALSE)</f>
        <v>746.87</v>
      </c>
      <c r="Y6" s="6"/>
      <c r="Z6" s="6"/>
      <c r="AA6" s="6"/>
      <c r="AB6" s="6"/>
    </row>
    <row r="7" spans="1:28" x14ac:dyDescent="0.2">
      <c r="A7" s="6"/>
      <c r="B7" s="26"/>
      <c r="C7" s="26"/>
      <c r="D7" s="25" t="s">
        <v>1</v>
      </c>
      <c r="E7">
        <f>VLOOKUP($D$7,QData!$A$1:$V$162,F$1,FALSE)</f>
        <v>196.88</v>
      </c>
      <c r="F7">
        <f>VLOOKUP($D$7,QData!$A$1:$V$162,G$1,FALSE)</f>
        <v>156.30000000000001</v>
      </c>
      <c r="G7">
        <f>VLOOKUP($D$7,QData!$A$1:$V$162,H$1,FALSE)</f>
        <v>159.91</v>
      </c>
      <c r="H7">
        <f>VLOOKUP($D$7,QData!$A$1:$V$162,I$1,FALSE)</f>
        <v>-104.03</v>
      </c>
      <c r="I7">
        <f>VLOOKUP($D$7,QData!$A$1:$V$162,J$1,FALSE)</f>
        <v>-10.58</v>
      </c>
      <c r="J7">
        <f>VLOOKUP($D$7,QData!$A$1:$V$162,K$1,FALSE)</f>
        <v>40.340000000000003</v>
      </c>
      <c r="K7">
        <f>VLOOKUP($D$7,QData!$A$1:$V$162,L$1,FALSE)</f>
        <v>-693.05</v>
      </c>
      <c r="L7">
        <f>VLOOKUP($D$7,QData!$A$1:$V$162,M$1,FALSE)</f>
        <v>54.93</v>
      </c>
      <c r="M7">
        <f>VLOOKUP($D$7,QData!$A$1:$V$162,N$1,FALSE)</f>
        <v>558.49</v>
      </c>
      <c r="N7">
        <f>VLOOKUP($D$7,QData!$A$1:$V$162,O$1,FALSE)</f>
        <v>1277</v>
      </c>
      <c r="O7">
        <f>VLOOKUP($D$7,QData!$A$1:$V$162,P$1,FALSE)</f>
        <v>1001</v>
      </c>
      <c r="P7">
        <f>VLOOKUP($D$7,QData!$A$1:$V$162,Q$1,FALSE)</f>
        <v>1047</v>
      </c>
      <c r="Q7">
        <f>VLOOKUP($D$7,QData!$A$1:$V$162,R$1,FALSE)</f>
        <v>580.91999999999996</v>
      </c>
      <c r="R7">
        <f>VLOOKUP($D$7,QData!$A$1:$V$162,S$1,FALSE)</f>
        <v>449.03</v>
      </c>
      <c r="S7">
        <f>VLOOKUP($D$7,QData!$A$1:$V$162,T$1,FALSE)</f>
        <v>247.09</v>
      </c>
      <c r="T7">
        <f>VLOOKUP($D$7,QData!$A$1:$V$162,U$1,FALSE)</f>
        <v>249.27</v>
      </c>
      <c r="U7">
        <f>VLOOKUP($D$7,QData!$A$1:$V$162,V$1,FALSE)</f>
        <v>248.42</v>
      </c>
      <c r="V7">
        <f>VLOOKUP($D$7,QData!$A$1:$V$162,W$1,FALSE)</f>
        <v>263.69</v>
      </c>
      <c r="W7">
        <f>VLOOKUP($D$7,QData!$A$1:$V$162,X$1,FALSE)</f>
        <v>266.72000000000003</v>
      </c>
      <c r="X7">
        <f>VLOOKUP($D$7,QData!$A$1:$V$162,Y$1,FALSE)</f>
        <v>254.06</v>
      </c>
      <c r="Y7" s="6"/>
      <c r="Z7" s="6"/>
      <c r="AA7" s="6"/>
      <c r="AB7" s="6"/>
    </row>
    <row r="8" spans="1:28" x14ac:dyDescent="0.2">
      <c r="A8" s="6"/>
      <c r="B8" s="26"/>
      <c r="C8" s="26"/>
      <c r="D8" s="25" t="s">
        <v>17</v>
      </c>
      <c r="E8">
        <f>VLOOKUP($D8,QData!$A$1:$V$162,F$1,FALSE)</f>
        <v>22.9</v>
      </c>
      <c r="F8">
        <f>VLOOKUP($D8,QData!$A$1:$V$162,G$1,FALSE)</f>
        <v>41.35</v>
      </c>
      <c r="G8">
        <f>VLOOKUP($D8,QData!$A$1:$V$162,H$1,FALSE)</f>
        <v>75.290000000000006</v>
      </c>
      <c r="H8">
        <f>VLOOKUP($D8,QData!$A$1:$V$162,I$1,FALSE)</f>
        <v>-1069</v>
      </c>
      <c r="I8">
        <f>VLOOKUP($D8,QData!$A$1:$V$162,J$1,FALSE)</f>
        <v>-188.2</v>
      </c>
      <c r="J8">
        <f>VLOOKUP($D8,QData!$A$1:$V$162,K$1,FALSE)</f>
        <v>2.4500000000000002</v>
      </c>
      <c r="K8">
        <f>VLOOKUP($D8,QData!$A$1:$V$162,L$1,FALSE)</f>
        <v>-617.67999999999995</v>
      </c>
      <c r="L8">
        <f>VLOOKUP($D8,QData!$A$1:$V$162,M$1,FALSE)</f>
        <v>302.52999999999997</v>
      </c>
      <c r="M8">
        <f>VLOOKUP($D8,QData!$A$1:$V$162,N$1,FALSE)</f>
        <v>650.04</v>
      </c>
      <c r="N8">
        <f>VLOOKUP($D8,QData!$A$1:$V$162,O$1,FALSE)</f>
        <v>1239</v>
      </c>
      <c r="O8">
        <f>VLOOKUP($D8,QData!$A$1:$V$162,P$1,FALSE)</f>
        <v>1132</v>
      </c>
      <c r="P8">
        <f>VLOOKUP($D8,QData!$A$1:$V$162,Q$1,FALSE)</f>
        <v>897.22</v>
      </c>
      <c r="Q8">
        <f>VLOOKUP($D8,QData!$A$1:$V$162,R$1,FALSE)</f>
        <v>406.77</v>
      </c>
      <c r="R8">
        <f>VLOOKUP($D8,QData!$A$1:$V$162,S$1,FALSE)</f>
        <v>253.38</v>
      </c>
      <c r="S8">
        <f>VLOOKUP($D8,QData!$A$1:$V$162,T$1,FALSE)</f>
        <v>-3.82</v>
      </c>
      <c r="T8">
        <f>VLOOKUP($D8,QData!$A$1:$V$162,U$1,FALSE)</f>
        <v>-392.78</v>
      </c>
      <c r="U8">
        <f>VLOOKUP($D8,QData!$A$1:$V$162,V$1,FALSE)</f>
        <v>424.6</v>
      </c>
      <c r="V8">
        <f>VLOOKUP($D8,QData!$A$1:$V$162,W$1,FALSE)</f>
        <v>95.68</v>
      </c>
      <c r="W8">
        <f>VLOOKUP($D8,QData!$A$1:$V$162,X$1,FALSE)</f>
        <v>84.64</v>
      </c>
      <c r="X8">
        <f>VLOOKUP($D8,QData!$A$1:$V$162,Y$1,FALSE)</f>
        <v>98.3</v>
      </c>
      <c r="Y8" s="6"/>
      <c r="Z8" s="6"/>
      <c r="AA8" s="6"/>
      <c r="AB8" s="6"/>
    </row>
    <row r="9" spans="1:28" x14ac:dyDescent="0.2">
      <c r="A9" s="6"/>
      <c r="B9" s="26"/>
      <c r="C9" s="26"/>
      <c r="D9" s="25" t="s">
        <v>2</v>
      </c>
      <c r="E9">
        <f>VLOOKUP($D$9,QData!$A$1:$V$162,F$1,FALSE)</f>
        <v>220.71</v>
      </c>
      <c r="F9">
        <f>VLOOKUP($D$9,QData!$A$1:$V$162,G$1,FALSE)</f>
        <v>182.2</v>
      </c>
      <c r="G9">
        <f>VLOOKUP($D$9,QData!$A$1:$V$162,H$1,FALSE)</f>
        <v>184.92</v>
      </c>
      <c r="H9">
        <f>VLOOKUP($D$9,QData!$A$1:$V$162,I$1,FALSE)</f>
        <v>-116.33</v>
      </c>
      <c r="I9">
        <f>VLOOKUP($D$9,QData!$A$1:$V$162,J$1,FALSE)</f>
        <v>-57.59</v>
      </c>
      <c r="J9">
        <f>VLOOKUP($D$9,QData!$A$1:$V$162,K$1,FALSE)</f>
        <v>-18.510000000000002</v>
      </c>
      <c r="K9">
        <f>VLOOKUP($D$9,QData!$A$1:$V$162,L$1,FALSE)</f>
        <v>-741.06</v>
      </c>
      <c r="L9">
        <f>VLOOKUP($D$9,QData!$A$1:$V$162,M$1,FALSE)</f>
        <v>-22.71</v>
      </c>
      <c r="M9">
        <f>VLOOKUP($D$9,QData!$A$1:$V$162,N$1,FALSE)</f>
        <v>466.2</v>
      </c>
      <c r="N9">
        <f>VLOOKUP($D$9,QData!$A$1:$V$162,O$1,FALSE)</f>
        <v>1194</v>
      </c>
      <c r="O9">
        <f>VLOOKUP($D$9,QData!$A$1:$V$162,P$1,FALSE)</f>
        <v>970.95</v>
      </c>
      <c r="P9">
        <f>VLOOKUP($D$9,QData!$A$1:$V$162,Q$1,FALSE)</f>
        <v>981.84</v>
      </c>
      <c r="Q9">
        <f>VLOOKUP($D$9,QData!$A$1:$V$162,R$1,FALSE)</f>
        <v>517.08000000000004</v>
      </c>
      <c r="R9">
        <f>VLOOKUP($D$9,QData!$A$1:$V$162,S$1,FALSE)</f>
        <v>393.93</v>
      </c>
      <c r="S9">
        <f>VLOOKUP($D$9,QData!$A$1:$V$162,T$1,FALSE)</f>
        <v>253.86</v>
      </c>
      <c r="T9">
        <f>VLOOKUP($D$9,QData!$A$1:$V$162,U$1,FALSE)</f>
        <v>202.34</v>
      </c>
      <c r="U9">
        <f>VLOOKUP($D$9,QData!$A$1:$V$162,V$1,FALSE)</f>
        <v>182.47</v>
      </c>
      <c r="V9">
        <f>VLOOKUP($D$9,QData!$A$1:$V$162,W$1,FALSE)</f>
        <v>225.72</v>
      </c>
      <c r="W9">
        <f>VLOOKUP($D$9,QData!$A$1:$V$162,X$1,FALSE)</f>
        <v>157.44</v>
      </c>
      <c r="X9">
        <f>VLOOKUP($D$9,QData!$A$1:$V$162,Y$1,FALSE)</f>
        <v>214.18</v>
      </c>
      <c r="Y9" s="6"/>
      <c r="Z9" s="6"/>
      <c r="AA9" s="6"/>
      <c r="AB9" s="6"/>
    </row>
    <row r="10" spans="1:28" x14ac:dyDescent="0.2">
      <c r="A10" s="6"/>
      <c r="B10" s="26"/>
      <c r="C10" s="26"/>
      <c r="D10" s="25" t="s">
        <v>3</v>
      </c>
      <c r="E10">
        <f>VLOOKUP($D$10,QData!$A$1:$V$162,F$1,FALSE)</f>
        <v>51.98</v>
      </c>
      <c r="F10">
        <f>VLOOKUP($D$10,QData!$A$1:$V$162,G$1,FALSE)</f>
        <v>20.440000000000001</v>
      </c>
      <c r="G10">
        <f>VLOOKUP($D$10,QData!$A$1:$V$162,H$1,FALSE)</f>
        <v>21.81</v>
      </c>
      <c r="H10">
        <f>VLOOKUP($D$10,QData!$A$1:$V$162,I$1,FALSE)</f>
        <v>-279.83</v>
      </c>
      <c r="I10">
        <f>VLOOKUP($D$10,QData!$A$1:$V$162,J$1,FALSE)</f>
        <v>-195.87</v>
      </c>
      <c r="J10">
        <f>VLOOKUP($D$10,QData!$A$1:$V$162,K$1,FALSE)</f>
        <v>-142.26</v>
      </c>
      <c r="K10">
        <f>VLOOKUP($D$10,QData!$A$1:$V$162,L$1,FALSE)</f>
        <v>-885.2</v>
      </c>
      <c r="L10">
        <f>VLOOKUP($D$10,QData!$A$1:$V$162,M$1,FALSE)</f>
        <v>-128.15</v>
      </c>
      <c r="M10">
        <f>VLOOKUP($D$10,QData!$A$1:$V$162,N$1,FALSE)</f>
        <v>373.12</v>
      </c>
      <c r="N10">
        <f>VLOOKUP($D$10,QData!$A$1:$V$162,O$1,FALSE)</f>
        <v>1107</v>
      </c>
      <c r="O10">
        <f>VLOOKUP($D$10,QData!$A$1:$V$162,P$1,FALSE)</f>
        <v>885.39</v>
      </c>
      <c r="P10">
        <f>VLOOKUP($D$10,QData!$A$1:$V$162,Q$1,FALSE)</f>
        <v>904.13</v>
      </c>
      <c r="Q10">
        <f>VLOOKUP($D$10,QData!$A$1:$V$162,R$1,FALSE)</f>
        <v>446.09</v>
      </c>
      <c r="R10">
        <f>VLOOKUP($D$10,QData!$A$1:$V$162,S$1,FALSE)</f>
        <v>327.36</v>
      </c>
      <c r="S10">
        <f>VLOOKUP($D$10,QData!$A$1:$V$162,T$1,FALSE)</f>
        <v>185.62</v>
      </c>
      <c r="T10">
        <f>VLOOKUP($D$10,QData!$A$1:$V$162,U$1,FALSE)</f>
        <v>140.26</v>
      </c>
      <c r="U10">
        <f>VLOOKUP($D$10,QData!$A$1:$V$162,V$1,FALSE)</f>
        <v>121.05</v>
      </c>
      <c r="V10">
        <f>VLOOKUP($D$10,QData!$A$1:$V$162,W$1,FALSE)</f>
        <v>163.46</v>
      </c>
      <c r="W10">
        <f>VLOOKUP($D$10,QData!$A$1:$V$162,X$1,FALSE)</f>
        <v>95.67</v>
      </c>
      <c r="X10">
        <f>VLOOKUP($D$10,QData!$A$1:$V$162,Y$1,FALSE)</f>
        <v>155.5</v>
      </c>
      <c r="Y10" s="6"/>
      <c r="Z10" s="6"/>
      <c r="AA10" s="6"/>
      <c r="AB10" s="6"/>
    </row>
    <row r="11" spans="1:28" x14ac:dyDescent="0.2">
      <c r="A11" s="6"/>
      <c r="B11" s="26"/>
      <c r="C11" s="26"/>
      <c r="D11" s="25" t="s">
        <v>36</v>
      </c>
      <c r="E11">
        <f>VLOOKUP($D$11,QData!$A$1:$V$162,F$1,FALSE)</f>
        <v>0.14799999999999999</v>
      </c>
      <c r="F11">
        <f>VLOOKUP($D$11,QData!$A$1:$V$162,G$1,FALSE)</f>
        <v>0.14510000000000001</v>
      </c>
      <c r="G11">
        <f>VLOOKUP($D$11,QData!$A$1:$V$162,H$1,FALSE)</f>
        <v>0.1298</v>
      </c>
      <c r="H11">
        <f>VLOOKUP($D$11,QData!$A$1:$V$162,I$1,FALSE)</f>
        <v>-7.6799999999999993E-2</v>
      </c>
      <c r="I11">
        <f>VLOOKUP($D$11,QData!$A$1:$V$162,J$1,FALSE)</f>
        <v>-7.4000000000000003E-3</v>
      </c>
      <c r="J11">
        <f>VLOOKUP($D$11,QData!$A$1:$V$162,K$1,FALSE)</f>
        <v>2.9600000000000001E-2</v>
      </c>
      <c r="K11">
        <f>VLOOKUP($D$11,QData!$A$1:$V$162,L$1,FALSE)</f>
        <v>-0.29409999999999997</v>
      </c>
      <c r="L11">
        <f>VLOOKUP($D$11,QData!$A$1:$V$162,M$1,FALSE)</f>
        <v>2.3800000000000002E-2</v>
      </c>
      <c r="M11">
        <f>VLOOKUP($D$11,QData!$A$1:$V$162,N$1,FALSE)</f>
        <v>0.2356</v>
      </c>
      <c r="N11">
        <f>VLOOKUP($D$11,QData!$A$1:$V$162,O$1,FALSE)</f>
        <v>0.49469999999999997</v>
      </c>
      <c r="O11">
        <f>VLOOKUP($D$11,QData!$A$1:$V$162,P$1,FALSE)</f>
        <v>0.38200000000000001</v>
      </c>
      <c r="P11">
        <f>VLOOKUP($D$11,QData!$A$1:$V$162,Q$1,FALSE)</f>
        <v>0.50029999999999997</v>
      </c>
      <c r="Q11">
        <f>VLOOKUP($D$11,QData!$A$1:$V$162,R$1,FALSE)</f>
        <v>0.3926</v>
      </c>
      <c r="R11">
        <f>VLOOKUP($D$11,QData!$A$1:$V$162,S$1,FALSE)</f>
        <v>0.3982</v>
      </c>
      <c r="S11">
        <f>VLOOKUP($D$11,QData!$A$1:$V$162,T$1,FALSE)</f>
        <v>0.27629999999999999</v>
      </c>
      <c r="T11">
        <f>VLOOKUP($D$11,QData!$A$1:$V$162,U$1,FALSE)</f>
        <v>0.30009999999999998</v>
      </c>
      <c r="U11">
        <f>VLOOKUP($D$11,QData!$A$1:$V$162,V$1,FALSE)</f>
        <v>0.32100000000000001</v>
      </c>
      <c r="V11">
        <f>VLOOKUP($D$11,QData!$A$1:$V$162,W$1,FALSE)</f>
        <v>0.318</v>
      </c>
      <c r="W11">
        <f>VLOOKUP($D$11,QData!$A$1:$V$162,X$1,FALSE)</f>
        <v>0.3034</v>
      </c>
      <c r="X11">
        <f>VLOOKUP($D$11,QData!$A$1:$V$162,Y$1,FALSE)</f>
        <v>0.3402</v>
      </c>
      <c r="Y11" s="6"/>
      <c r="Z11" s="6"/>
      <c r="AA11" s="6"/>
      <c r="AB11" s="6"/>
    </row>
    <row r="12" spans="1:28" x14ac:dyDescent="0.2">
      <c r="A12" s="6"/>
      <c r="B12" s="26"/>
      <c r="C12" s="26"/>
      <c r="D12" s="25" t="s">
        <v>38</v>
      </c>
      <c r="E12">
        <f>VLOOKUP($D$12,QData!$A$1:$V$162,F$1,FALSE)</f>
        <v>1.72E-2</v>
      </c>
      <c r="F12">
        <f>VLOOKUP($D$12,QData!$A$1:$V$162,G$1,FALSE)</f>
        <v>-2.9999999999999997E-4</v>
      </c>
      <c r="G12">
        <f>VLOOKUP($D$12,QData!$A$1:$V$162,H$1,FALSE)</f>
        <v>2.7300000000000001E-2</v>
      </c>
      <c r="H12">
        <f>VLOOKUP($D$12,QData!$A$1:$V$162,I$1,FALSE)</f>
        <v>-0.81989999999999996</v>
      </c>
      <c r="I12">
        <f>VLOOKUP($D$12,QData!$A$1:$V$162,J$1,FALSE)</f>
        <v>-0.16070000000000001</v>
      </c>
      <c r="J12">
        <f>VLOOKUP($D$12,QData!$A$1:$V$162,K$1,FALSE)</f>
        <v>-6.7000000000000002E-3</v>
      </c>
      <c r="K12">
        <f>VLOOKUP($D$12,QData!$A$1:$V$162,L$1,FALSE)</f>
        <v>-0.2621</v>
      </c>
      <c r="L12">
        <f>VLOOKUP($D$12,QData!$A$1:$V$162,M$1,FALSE)</f>
        <v>0.13089999999999999</v>
      </c>
      <c r="M12">
        <f>VLOOKUP($D$12,QData!$A$1:$V$162,N$1,FALSE)</f>
        <v>0.27429999999999999</v>
      </c>
      <c r="N12">
        <f>VLOOKUP($D$12,QData!$A$1:$V$162,O$1,FALSE)</f>
        <v>0.48</v>
      </c>
      <c r="O12">
        <f>VLOOKUP($D$12,QData!$A$1:$V$162,P$1,FALSE)</f>
        <v>0.43209999999999998</v>
      </c>
      <c r="P12">
        <f>VLOOKUP($D$12,QData!$A$1:$V$162,Q$1,FALSE)</f>
        <v>0.4289</v>
      </c>
      <c r="Q12">
        <f>VLOOKUP($D$12,QData!$A$1:$V$162,R$1,FALSE)</f>
        <v>0.27489999999999998</v>
      </c>
      <c r="R12">
        <f>VLOOKUP($D$12,QData!$A$1:$V$162,S$1,FALSE)</f>
        <v>0.22470000000000001</v>
      </c>
      <c r="S12">
        <f>VLOOKUP($D$12,QData!$A$1:$V$162,T$1,FALSE)</f>
        <v>-4.3E-3</v>
      </c>
      <c r="T12">
        <f>VLOOKUP($D$12,QData!$A$1:$V$162,U$1,FALSE)</f>
        <v>-0.47289999999999999</v>
      </c>
      <c r="U12">
        <f>VLOOKUP($D$12,QData!$A$1:$V$162,V$1,FALSE)</f>
        <v>0.54859999999999998</v>
      </c>
      <c r="V12">
        <f>VLOOKUP($D$12,QData!$A$1:$V$162,W$1,FALSE)</f>
        <v>0.1154</v>
      </c>
      <c r="W12">
        <f>VLOOKUP($D$12,QData!$A$1:$V$162,X$1,FALSE)</f>
        <v>9.6299999999999997E-2</v>
      </c>
      <c r="X12">
        <f>VLOOKUP($D$12,QData!$A$1:$V$162,Y$1,FALSE)</f>
        <v>0.13159999999999999</v>
      </c>
      <c r="Y12" s="6"/>
      <c r="Z12" s="6"/>
      <c r="AA12" s="6"/>
      <c r="AB12" s="6"/>
    </row>
    <row r="13" spans="1:28" x14ac:dyDescent="0.2">
      <c r="A13" s="6"/>
      <c r="B13" s="26"/>
      <c r="C13" s="26"/>
      <c r="D13" s="25" t="s">
        <v>37</v>
      </c>
      <c r="E13">
        <f>VLOOKUP($D$13,QData!$A$1:$V$162,F$1,FALSE)</f>
        <v>3.9100000000000003E-2</v>
      </c>
      <c r="F13">
        <f>VLOOKUP($D$13,QData!$A$1:$V$162,G$1,FALSE)</f>
        <v>1.9E-2</v>
      </c>
      <c r="G13">
        <f>VLOOKUP($D$13,QData!$A$1:$V$162,H$1,FALSE)</f>
        <v>1.77E-2</v>
      </c>
      <c r="H13">
        <f>VLOOKUP($D$13,QData!$A$1:$V$162,I$1,FALSE)</f>
        <v>-0.20660000000000001</v>
      </c>
      <c r="I13">
        <f>VLOOKUP($D$13,QData!$A$1:$V$162,J$1,FALSE)</f>
        <v>-0.13689999999999999</v>
      </c>
      <c r="J13">
        <f>VLOOKUP($D$13,QData!$A$1:$V$162,K$1,FALSE)</f>
        <v>-0.1045</v>
      </c>
      <c r="K13">
        <f>VLOOKUP($D$13,QData!$A$1:$V$162,L$1,FALSE)</f>
        <v>-0.37569999999999998</v>
      </c>
      <c r="L13">
        <f>VLOOKUP($D$13,QData!$A$1:$V$162,M$1,FALSE)</f>
        <v>-5.5500000000000001E-2</v>
      </c>
      <c r="M13">
        <f>VLOOKUP($D$13,QData!$A$1:$V$162,N$1,FALSE)</f>
        <v>0.15740000000000001</v>
      </c>
      <c r="N13">
        <f>VLOOKUP($D$13,QData!$A$1:$V$162,O$1,FALSE)</f>
        <v>0.42899999999999999</v>
      </c>
      <c r="O13">
        <f>VLOOKUP($D$13,QData!$A$1:$V$162,P$1,FALSE)</f>
        <v>0.33779999999999999</v>
      </c>
      <c r="P13">
        <f>VLOOKUP($D$13,QData!$A$1:$V$162,Q$1,FALSE)</f>
        <v>0.43219999999999997</v>
      </c>
      <c r="Q13">
        <f>VLOOKUP($D$13,QData!$A$1:$V$162,R$1,FALSE)</f>
        <v>0.30149999999999999</v>
      </c>
      <c r="R13">
        <f>VLOOKUP($D$13,QData!$A$1:$V$162,S$1,FALSE)</f>
        <v>0.2903</v>
      </c>
      <c r="S13">
        <f>VLOOKUP($D$13,QData!$A$1:$V$162,T$1,FALSE)</f>
        <v>0.20760000000000001</v>
      </c>
      <c r="T13">
        <f>VLOOKUP($D$13,QData!$A$1:$V$162,U$1,FALSE)</f>
        <v>0.16889999999999999</v>
      </c>
      <c r="U13">
        <f>VLOOKUP($D$13,QData!$A$1:$V$162,V$1,FALSE)</f>
        <v>0.15640000000000001</v>
      </c>
      <c r="V13">
        <f>VLOOKUP($D$13,QData!$A$1:$V$162,W$1,FALSE)</f>
        <v>0.1971</v>
      </c>
      <c r="W13">
        <f>VLOOKUP($D$13,QData!$A$1:$V$162,X$1,FALSE)</f>
        <v>0.10879999999999999</v>
      </c>
      <c r="X13">
        <f>VLOOKUP($D$13,QData!$A$1:$V$162,Y$1,FALSE)</f>
        <v>0.2082</v>
      </c>
      <c r="Y13" s="6"/>
      <c r="Z13" s="6"/>
      <c r="AA13" s="6"/>
      <c r="AB13" s="6"/>
    </row>
    <row r="14" spans="1:28" x14ac:dyDescent="0.2">
      <c r="A14" s="6"/>
      <c r="B14" s="26"/>
      <c r="C14" s="26"/>
      <c r="D14" s="25" t="s">
        <v>15</v>
      </c>
      <c r="E14">
        <f>VLOOKUP($D$14,QData!$A$1:$V$162,F$1,FALSE)</f>
        <v>-1816</v>
      </c>
      <c r="F14">
        <f>VLOOKUP($D$14,QData!$A$1:$V$162,G$1,FALSE)</f>
        <v>-2155</v>
      </c>
      <c r="G14">
        <f>VLOOKUP($D$14,QData!$A$1:$V$162,H$1,FALSE)</f>
        <v>-2395</v>
      </c>
      <c r="H14">
        <f>VLOOKUP($D$14,QData!$A$1:$V$162,I$1,FALSE)</f>
        <v>-2042</v>
      </c>
      <c r="I14">
        <f>VLOOKUP($D$14,QData!$A$1:$V$162,J$1,FALSE)</f>
        <v>-1829</v>
      </c>
      <c r="J14">
        <f>VLOOKUP($D$14,QData!$A$1:$V$162,K$1,FALSE)</f>
        <v>-1612</v>
      </c>
      <c r="K14">
        <f>VLOOKUP($D$14,QData!$A$1:$V$162,L$1,FALSE)</f>
        <v>-3214</v>
      </c>
      <c r="L14">
        <f>VLOOKUP($D$14,QData!$A$1:$V$162,M$1,FALSE)</f>
        <v>-2206</v>
      </c>
      <c r="M14">
        <f>VLOOKUP($D$14,QData!$A$1:$V$162,N$1,FALSE)</f>
        <v>-2064</v>
      </c>
      <c r="N14">
        <f>VLOOKUP($D$14,QData!$A$1:$V$162,O$1,FALSE)</f>
        <v>-1786</v>
      </c>
      <c r="O14">
        <f>VLOOKUP($D$14,QData!$A$1:$V$162,P$1,FALSE)</f>
        <v>-1813</v>
      </c>
      <c r="P14">
        <f>VLOOKUP($D$14,QData!$A$1:$V$162,Q$1,FALSE)</f>
        <v>-2119</v>
      </c>
      <c r="Q14">
        <f>VLOOKUP($D$14,QData!$A$1:$V$162,R$1,FALSE)</f>
        <v>-2664</v>
      </c>
      <c r="R14">
        <f>VLOOKUP($D$14,QData!$A$1:$V$162,S$1,FALSE)</f>
        <v>-2178</v>
      </c>
      <c r="S14">
        <f>VLOOKUP($D$14,QData!$A$1:$V$162,T$1,FALSE)</f>
        <v>-2076</v>
      </c>
      <c r="T14">
        <f>VLOOKUP($D$14,QData!$A$1:$V$162,U$1,FALSE)</f>
        <v>-1597</v>
      </c>
      <c r="U14">
        <f>VLOOKUP($D$14,QData!$A$1:$V$162,V$1,FALSE)</f>
        <v>-1397</v>
      </c>
      <c r="V14">
        <f>VLOOKUP($D$14,QData!$A$1:$V$162,W$1,FALSE)</f>
        <v>-1592</v>
      </c>
      <c r="W14">
        <f>VLOOKUP($D$14,QData!$A$1:$V$162,X$1,FALSE)</f>
        <v>-2927</v>
      </c>
      <c r="X14">
        <f>VLOOKUP($D$14,QData!$A$1:$V$162,Y$1,FALSE)</f>
        <v>-2977</v>
      </c>
      <c r="Y14" s="6"/>
      <c r="Z14" s="6"/>
      <c r="AA14" s="6"/>
      <c r="AB14" s="6"/>
    </row>
    <row r="15" spans="1:28" x14ac:dyDescent="0.2">
      <c r="A15" s="6"/>
      <c r="B15" s="6"/>
      <c r="C15" s="6"/>
      <c r="D15" s="25" t="s">
        <v>14</v>
      </c>
      <c r="E15">
        <f>VLOOKUP($D$15,QData!$A$1:$V$162,F$1,FALSE)</f>
        <v>10499</v>
      </c>
      <c r="F15">
        <f>VLOOKUP($D$15,QData!$A$1:$V$162,G$1,FALSE)</f>
        <v>10274</v>
      </c>
      <c r="G15">
        <f>VLOOKUP($D$15,QData!$A$1:$V$162,H$1,FALSE)</f>
        <v>10200</v>
      </c>
      <c r="H15">
        <f>VLOOKUP($D$15,QData!$A$1:$V$162,I$1,FALSE)</f>
        <v>10491</v>
      </c>
      <c r="I15">
        <f>VLOOKUP($D$15,QData!$A$1:$V$162,J$1,FALSE)</f>
        <v>11483</v>
      </c>
      <c r="J15">
        <f>VLOOKUP($D$15,QData!$A$1:$V$162,K$1,FALSE)</f>
        <v>11800</v>
      </c>
      <c r="K15">
        <f>VLOOKUP($D$15,QData!$A$1:$V$162,L$1,FALSE)</f>
        <v>9665</v>
      </c>
      <c r="L15">
        <f>VLOOKUP($D$15,QData!$A$1:$V$162,M$1,FALSE)</f>
        <v>10162</v>
      </c>
      <c r="M15">
        <f>VLOOKUP($D$15,QData!$A$1:$V$162,N$1,FALSE)</f>
        <v>10088</v>
      </c>
      <c r="N15">
        <f>VLOOKUP($D$15,QData!$A$1:$V$162,O$1,FALSE)</f>
        <v>9459</v>
      </c>
      <c r="O15">
        <f>VLOOKUP($D$15,QData!$A$1:$V$162,P$1,FALSE)</f>
        <v>8191</v>
      </c>
      <c r="P15">
        <f>VLOOKUP($D$15,QData!$A$1:$V$162,Q$1,FALSE)</f>
        <v>6965</v>
      </c>
      <c r="Q15">
        <f>VLOOKUP($D$15,QData!$A$1:$V$162,R$1,FALSE)</f>
        <v>6301</v>
      </c>
      <c r="R15">
        <f>VLOOKUP($D$15,QData!$A$1:$V$162,S$1,FALSE)</f>
        <v>6035</v>
      </c>
      <c r="S15">
        <f>VLOOKUP($D$15,QData!$A$1:$V$162,T$1,FALSE)</f>
        <v>5806</v>
      </c>
      <c r="T15">
        <f>VLOOKUP($D$15,QData!$A$1:$V$162,U$1,FALSE)</f>
        <v>5895</v>
      </c>
      <c r="U15">
        <f>VLOOKUP($D$15,QData!$A$1:$V$162,V$1,FALSE)</f>
        <v>6366</v>
      </c>
      <c r="V15">
        <f>VLOOKUP($D$15,QData!$A$1:$V$162,W$1,FALSE)</f>
        <v>5943</v>
      </c>
      <c r="W15">
        <f>VLOOKUP($D$15,QData!$A$1:$V$162,X$1,FALSE)</f>
        <v>4469</v>
      </c>
      <c r="X15">
        <f>VLOOKUP($D$15,QData!$A$1:$V$162,Y$1,FALSE)</f>
        <v>4325</v>
      </c>
      <c r="Y15" s="6"/>
      <c r="Z15" s="6"/>
      <c r="AA15" s="6"/>
      <c r="AB15" s="6"/>
    </row>
    <row r="16" spans="1:28" x14ac:dyDescent="0.2">
      <c r="A16" s="6"/>
      <c r="B16" s="6"/>
      <c r="C16" s="6"/>
      <c r="D16" s="25" t="s">
        <v>9</v>
      </c>
      <c r="E16">
        <f>VLOOKUP($D$16,QData!$A$166:$V$201,F$1,FALSE)</f>
        <v>9536</v>
      </c>
      <c r="F16">
        <f>VLOOKUP($D$16,QData!$A$166:$V$201,G$1,FALSE)</f>
        <v>12010</v>
      </c>
      <c r="G16">
        <f>VLOOKUP($D$16,QData!$A$166:$V$201,H$1,FALSE)</f>
        <v>13342</v>
      </c>
      <c r="H16">
        <f>VLOOKUP($D$16,QData!$A$166:$V$201,I$1,FALSE)</f>
        <v>14645</v>
      </c>
      <c r="I16">
        <f>VLOOKUP($D$16,QData!$A$166:$V$201,J$1,FALSE)</f>
        <v>15457</v>
      </c>
      <c r="J16">
        <f>VLOOKUP($D$16,QData!$A$166:$V$201,K$1,FALSE)</f>
        <v>15341</v>
      </c>
      <c r="K16">
        <f>VLOOKUP($D$16,QData!$A$166:$V$201,L$1,FALSE)</f>
        <v>18950</v>
      </c>
      <c r="L16">
        <f>VLOOKUP($D$16,QData!$A$166:$V$201,M$1,FALSE)</f>
        <v>19426</v>
      </c>
      <c r="M16">
        <f>VLOOKUP($D$16,QData!$A$166:$V$201,N$1,FALSE)</f>
        <v>22291</v>
      </c>
      <c r="N16">
        <f>VLOOKUP($D$16,QData!$A$166:$V$201,O$1,FALSE)</f>
        <v>28209</v>
      </c>
      <c r="O16">
        <f>VLOOKUP($D$16,QData!$A$166:$V$201,P$1,FALSE)</f>
        <v>27949</v>
      </c>
      <c r="P16">
        <f>VLOOKUP($D$16,QData!$A$166:$V$201,Q$1,FALSE)</f>
        <v>27757</v>
      </c>
      <c r="Q16">
        <f>VLOOKUP($D$16,QData!$A$166:$V$201,R$1,FALSE)</f>
        <v>33853</v>
      </c>
      <c r="R16">
        <f>VLOOKUP($D$16,QData!$A$166:$V$201,S$1,FALSE)</f>
        <v>26861</v>
      </c>
      <c r="S16">
        <f>VLOOKUP($D$16,QData!$A$166:$V$201,T$1,FALSE)</f>
        <v>28156</v>
      </c>
      <c r="T16">
        <f>VLOOKUP($D$16,QData!$A$166:$V$201,U$1,FALSE)</f>
        <v>29144</v>
      </c>
      <c r="U16">
        <f>VLOOKUP($D$16,QData!$A$166:$V$201,V$1,FALSE)</f>
        <v>27206</v>
      </c>
      <c r="V16">
        <f>VLOOKUP($D$16,QData!$A$166:$V$201,W$1,FALSE)</f>
        <v>21451</v>
      </c>
      <c r="W16">
        <f>VLOOKUP($D$16,QData!$A$166:$V$201,X$1,FALSE)</f>
        <v>20181</v>
      </c>
      <c r="X16">
        <f>VLOOKUP($D$16,QData!$A$166:$V$201,Y$1,FALSE)</f>
        <v>18882</v>
      </c>
      <c r="Y16" s="6"/>
      <c r="Z16" s="6"/>
      <c r="AA16" s="6"/>
      <c r="AB16" s="6"/>
    </row>
    <row r="17" spans="1:28" ht="19" x14ac:dyDescent="0.25">
      <c r="A17" s="6"/>
      <c r="B17" s="6"/>
      <c r="C17" s="6"/>
      <c r="D17" s="7" t="s">
        <v>4</v>
      </c>
      <c r="E17" s="6"/>
      <c r="F17" s="6"/>
      <c r="G17" s="6"/>
      <c r="H17" s="6"/>
      <c r="I17" s="6"/>
      <c r="J17" s="6"/>
      <c r="K17" s="6"/>
      <c r="L17" s="6"/>
      <c r="M17" s="6"/>
      <c r="N17" s="6"/>
      <c r="O17" s="6"/>
      <c r="P17" s="6"/>
      <c r="Q17" s="6"/>
      <c r="R17" s="6"/>
      <c r="S17" s="6"/>
      <c r="T17" s="6"/>
      <c r="U17" s="6"/>
      <c r="V17" s="6"/>
      <c r="W17" s="6"/>
      <c r="X17" s="6"/>
      <c r="Y17" s="6"/>
      <c r="Z17" s="6"/>
      <c r="AA17" s="6"/>
      <c r="AB17" s="6"/>
    </row>
    <row r="18" spans="1:28" x14ac:dyDescent="0.2">
      <c r="A18" s="6"/>
      <c r="B18" s="6"/>
      <c r="C18" s="6"/>
      <c r="D18" t="s">
        <v>11</v>
      </c>
      <c r="E18">
        <f>VLOOKUP($D$18,QData!$A$1:$V$162,F$1,FALSE)</f>
        <v>1807</v>
      </c>
      <c r="F18">
        <f>VLOOKUP($D$18,QData!$A$1:$V$162,G$1,FALSE)</f>
        <v>1519</v>
      </c>
      <c r="G18">
        <f>VLOOKUP($D$18,QData!$A$1:$V$162,H$1,FALSE)</f>
        <v>1192</v>
      </c>
      <c r="H18">
        <f>VLOOKUP($D$18,QData!$A$1:$V$162,I$1,FALSE)</f>
        <v>1665</v>
      </c>
      <c r="I18">
        <f>VLOOKUP($D$18,QData!$A$1:$V$162,J$1,FALSE)</f>
        <v>1830</v>
      </c>
      <c r="J18">
        <f>VLOOKUP($D$18,QData!$A$1:$V$162,K$1,FALSE)</f>
        <v>2056</v>
      </c>
      <c r="K18">
        <f>VLOOKUP($D$18,QData!$A$1:$V$162,L$1,FALSE)</f>
        <v>889.9</v>
      </c>
      <c r="L18">
        <f>VLOOKUP($D$18,QData!$A$1:$V$162,M$1,FALSE)</f>
        <v>1602</v>
      </c>
      <c r="M18">
        <f>VLOOKUP($D$18,QData!$A$1:$V$162,N$1,FALSE)</f>
        <v>1600</v>
      </c>
      <c r="N18">
        <f>VLOOKUP($D$18,QData!$A$1:$V$162,O$1,FALSE)</f>
        <v>1587</v>
      </c>
      <c r="O18">
        <f>VLOOKUP($D$18,QData!$A$1:$V$162,P$1,FALSE)</f>
        <v>1499</v>
      </c>
      <c r="P18">
        <f>VLOOKUP($D$18,QData!$A$1:$V$162,Q$1,FALSE)</f>
        <v>1383</v>
      </c>
      <c r="Q18">
        <f>VLOOKUP($D$18,QData!$A$1:$V$162,R$1,FALSE)</f>
        <v>930.6</v>
      </c>
      <c r="R18">
        <f>VLOOKUP($D$18,QData!$A$1:$V$162,S$1,FALSE)</f>
        <v>463.33</v>
      </c>
      <c r="S18">
        <f>VLOOKUP($D$18,QData!$A$1:$V$162,T$1,FALSE)</f>
        <v>439.27</v>
      </c>
      <c r="T18">
        <f>VLOOKUP($D$18,QData!$A$1:$V$162,U$1,FALSE)</f>
        <v>595.04999999999995</v>
      </c>
      <c r="U18">
        <f>VLOOKUP($D$18,QData!$A$1:$V$162,V$1,FALSE)</f>
        <v>823.57</v>
      </c>
      <c r="V18">
        <f>VLOOKUP($D$18,QData!$A$1:$V$162,W$1,FALSE)</f>
        <v>569.86</v>
      </c>
      <c r="W18">
        <f>VLOOKUP($D$18,QData!$A$1:$V$162,X$1,FALSE)</f>
        <v>746.72</v>
      </c>
      <c r="X18">
        <f>VLOOKUP($D$18,QData!$A$1:$V$162,Y$1,FALSE)</f>
        <v>702.07</v>
      </c>
      <c r="Y18" s="6"/>
      <c r="Z18" s="6"/>
      <c r="AA18" s="6"/>
      <c r="AB18" s="6"/>
    </row>
    <row r="19" spans="1:28" x14ac:dyDescent="0.2">
      <c r="A19" s="6"/>
      <c r="B19" s="6"/>
      <c r="C19" s="6"/>
      <c r="D19" s="9" t="s">
        <v>7</v>
      </c>
      <c r="E19">
        <f>VLOOKUP($D$19,QData!$A$1:$V$162,F$1,FALSE)</f>
        <v>3623</v>
      </c>
      <c r="F19">
        <f>VLOOKUP($D$19,QData!$A$1:$V$162,G$1,FALSE)</f>
        <v>3674</v>
      </c>
      <c r="G19">
        <f>VLOOKUP($D$19,QData!$A$1:$V$162,H$1,FALSE)</f>
        <v>3648</v>
      </c>
      <c r="H19">
        <f>VLOOKUP($D$19,QData!$A$1:$V$162,I$1,FALSE)</f>
        <v>3707</v>
      </c>
      <c r="I19">
        <f>VLOOKUP($D$19,QData!$A$1:$V$162,J$1,FALSE)</f>
        <v>3659</v>
      </c>
      <c r="J19">
        <f>VLOOKUP($D$19,QData!$A$1:$V$162,K$1,FALSE)</f>
        <v>3668</v>
      </c>
      <c r="K19">
        <f>VLOOKUP($D$19,QData!$A$1:$V$162,L$1,FALSE)</f>
        <v>4311</v>
      </c>
      <c r="L19">
        <f>VLOOKUP($D$19,QData!$A$1:$V$162,M$1,FALSE)</f>
        <v>3808</v>
      </c>
      <c r="M19">
        <f>VLOOKUP($D$19,QData!$A$1:$V$162,N$1,FALSE)</f>
        <v>3664</v>
      </c>
      <c r="N19">
        <f>VLOOKUP($D$19,QData!$A$1:$V$162,O$1,FALSE)</f>
        <v>3373</v>
      </c>
      <c r="O19">
        <f>VLOOKUP($D$19,QData!$A$1:$V$162,P$1,FALSE)</f>
        <v>3352</v>
      </c>
      <c r="P19">
        <f>VLOOKUP($D$19,QData!$A$1:$V$162,Q$1,FALSE)</f>
        <v>3502</v>
      </c>
      <c r="Q19">
        <f>VLOOKUP($D$19,QData!$A$1:$V$162,R$1,FALSE)</f>
        <v>3595</v>
      </c>
      <c r="R19">
        <f>VLOOKUP($D$19,QData!$A$1:$V$162,S$1,FALSE)</f>
        <v>2642</v>
      </c>
      <c r="S19">
        <f>VLOOKUP($D$19,QData!$A$1:$V$162,T$1,FALSE)</f>
        <v>2553</v>
      </c>
      <c r="T19">
        <f>VLOOKUP($D$19,QData!$A$1:$V$162,U$1,FALSE)</f>
        <v>2193</v>
      </c>
      <c r="U19">
        <f>VLOOKUP($D$19,QData!$A$1:$V$162,V$1,FALSE)</f>
        <v>2221</v>
      </c>
      <c r="V19">
        <f>VLOOKUP($D$19,QData!$A$1:$V$162,W$1,FALSE)</f>
        <v>2162</v>
      </c>
      <c r="W19">
        <f>VLOOKUP($D$19,QData!$A$1:$V$162,X$1,FALSE)</f>
        <v>3711</v>
      </c>
      <c r="X19">
        <f>VLOOKUP($D$19,QData!$A$1:$V$162,Y$1,FALSE)</f>
        <v>3679</v>
      </c>
      <c r="Y19" s="6"/>
      <c r="Z19" s="6"/>
      <c r="AA19" s="6"/>
      <c r="AB19" s="6"/>
    </row>
    <row r="20" spans="1:28" x14ac:dyDescent="0.2">
      <c r="A20" s="20"/>
      <c r="B20" s="20"/>
      <c r="C20" s="20"/>
      <c r="D20" s="9" t="s">
        <v>16</v>
      </c>
      <c r="E20">
        <f>VLOOKUP($D$20,QData!$A$1:$V$162,F$1,FALSE)</f>
        <v>68.040000000000006</v>
      </c>
      <c r="F20">
        <f>VLOOKUP($D$20,QData!$A$1:$V$162,G$1,FALSE)</f>
        <v>66.239999999999995</v>
      </c>
      <c r="G20">
        <f>VLOOKUP($D$20,QData!$A$1:$V$162,H$1,FALSE)</f>
        <v>65.72</v>
      </c>
      <c r="H20">
        <f>VLOOKUP($D$20,QData!$A$1:$V$162,I$1,FALSE)</f>
        <v>68.11</v>
      </c>
      <c r="I20">
        <f>VLOOKUP($D$20,QData!$A$1:$V$162,J$1,FALSE)</f>
        <v>76.47</v>
      </c>
      <c r="J20">
        <f>VLOOKUP($D$20,QData!$A$1:$V$162,K$1,FALSE)</f>
        <v>79.11</v>
      </c>
      <c r="K20">
        <f>VLOOKUP($D$20,QData!$A$1:$V$162,L$1,FALSE)</f>
        <v>80.2</v>
      </c>
      <c r="L20">
        <f>VLOOKUP($D$20,QData!$A$1:$V$162,M$1,FALSE)</f>
        <v>84.34</v>
      </c>
      <c r="M20">
        <f>VLOOKUP($D$20,QData!$A$1:$V$162,N$1,FALSE)</f>
        <v>83.65</v>
      </c>
      <c r="N20">
        <f>VLOOKUP($D$20,QData!$A$1:$V$162,O$1,FALSE)</f>
        <v>78.540000000000006</v>
      </c>
      <c r="O20">
        <f>VLOOKUP($D$20,QData!$A$1:$V$162,P$1,FALSE)</f>
        <v>68.13</v>
      </c>
      <c r="P20">
        <f>VLOOKUP($D$20,QData!$A$1:$V$162,Q$1,FALSE)</f>
        <v>57.47</v>
      </c>
      <c r="Q20">
        <f>VLOOKUP($D$20,QData!$A$1:$V$162,R$1,FALSE)</f>
        <v>51.96</v>
      </c>
      <c r="R20">
        <f>VLOOKUP($D$20,QData!$A$1:$V$162,S$1,FALSE)</f>
        <v>49.75</v>
      </c>
      <c r="S20">
        <f>VLOOKUP($D$20,QData!$A$1:$V$162,T$1,FALSE)</f>
        <v>48.07</v>
      </c>
      <c r="T20">
        <f>VLOOKUP($D$20,QData!$A$1:$V$162,U$1,FALSE)</f>
        <v>48.68</v>
      </c>
      <c r="U20">
        <f>VLOOKUP($D$20,QData!$A$1:$V$162,V$1,FALSE)</f>
        <v>52.72</v>
      </c>
      <c r="V20">
        <f>VLOOKUP($D$20,QData!$A$1:$V$162,W$1,FALSE)</f>
        <v>49.23</v>
      </c>
      <c r="W20">
        <f>VLOOKUP($D$20,QData!$A$1:$V$162,X$1,FALSE)</f>
        <v>39.950000000000003</v>
      </c>
      <c r="X20">
        <f>VLOOKUP($D$20,QData!$A$1:$V$162,Y$1,FALSE)</f>
        <v>38.75</v>
      </c>
      <c r="Y20" s="6"/>
      <c r="Z20" s="6"/>
      <c r="AA20" s="6"/>
      <c r="AB20" s="6"/>
    </row>
    <row r="21" spans="1:28" x14ac:dyDescent="0.2">
      <c r="A21" s="6"/>
      <c r="B21" s="6"/>
      <c r="C21" s="6"/>
      <c r="D21" s="9" t="s">
        <v>13</v>
      </c>
      <c r="E21">
        <f>VLOOKUP($D$21,QData!$A$1:$V$162,F$1,FALSE)</f>
        <v>5367</v>
      </c>
      <c r="F21">
        <f>VLOOKUP($D$21,QData!$A$1:$V$162,G$1,FALSE)</f>
        <v>5434</v>
      </c>
      <c r="G21">
        <f>VLOOKUP($D$21,QData!$A$1:$V$162,H$1,FALSE)</f>
        <v>5482</v>
      </c>
      <c r="H21">
        <f>VLOOKUP($D$21,QData!$A$1:$V$162,I$1,FALSE)</f>
        <v>5496</v>
      </c>
      <c r="I21">
        <f>VLOOKUP($D$21,QData!$A$1:$V$162,J$1,FALSE)</f>
        <v>6654</v>
      </c>
      <c r="J21">
        <f>VLOOKUP($D$21,QData!$A$1:$V$162,K$1,FALSE)</f>
        <v>6931</v>
      </c>
      <c r="K21">
        <f>VLOOKUP($D$21,QData!$A$1:$V$162,L$1,FALSE)</f>
        <v>6987</v>
      </c>
      <c r="L21">
        <f>VLOOKUP($D$21,QData!$A$1:$V$162,M$1,FALSE)</f>
        <v>7652</v>
      </c>
      <c r="M21">
        <f>VLOOKUP($D$21,QData!$A$1:$V$162,N$1,FALSE)</f>
        <v>7396</v>
      </c>
      <c r="N21">
        <f>VLOOKUP($D$21,QData!$A$1:$V$162,O$1,FALSE)</f>
        <v>6793</v>
      </c>
      <c r="O21">
        <f>VLOOKUP($D$21,QData!$A$1:$V$162,P$1,FALSE)</f>
        <v>5601</v>
      </c>
      <c r="P21">
        <f>VLOOKUP($D$21,QData!$A$1:$V$162,Q$1,FALSE)</f>
        <v>4515</v>
      </c>
      <c r="Q21">
        <f>VLOOKUP($D$21,QData!$A$1:$V$162,R$1,FALSE)</f>
        <v>3664</v>
      </c>
      <c r="R21">
        <f>VLOOKUP($D$21,QData!$A$1:$V$162,S$1,FALSE)</f>
        <v>3304</v>
      </c>
      <c r="S21">
        <f>VLOOKUP($D$21,QData!$A$1:$V$162,T$1,FALSE)</f>
        <v>3097</v>
      </c>
      <c r="T21">
        <f>VLOOKUP($D$21,QData!$A$1:$V$162,U$1,FALSE)</f>
        <v>3146</v>
      </c>
      <c r="U21">
        <f>VLOOKUP($D$21,QData!$A$1:$V$162,V$1,FALSE)</f>
        <v>3584</v>
      </c>
      <c r="V21">
        <f>VLOOKUP($D$21,QData!$A$1:$V$162,W$1,FALSE)</f>
        <v>3205</v>
      </c>
      <c r="W21">
        <f>VLOOKUP($D$21,QData!$A$1:$V$162,X$1,FALSE)</f>
        <v>3155</v>
      </c>
      <c r="X21">
        <f>VLOOKUP($D$21,QData!$A$1:$V$162,Y$1,FALSE)</f>
        <v>3112</v>
      </c>
      <c r="Y21" s="6"/>
      <c r="Z21" s="6"/>
      <c r="AA21" s="6"/>
      <c r="AB21" s="6"/>
    </row>
    <row r="22" spans="1:28" s="3" customFormat="1" x14ac:dyDescent="0.2">
      <c r="A22" s="6"/>
      <c r="B22" s="6"/>
      <c r="C22" s="6"/>
      <c r="D22" t="s">
        <v>6</v>
      </c>
      <c r="E22">
        <f>VLOOKUP($D22,QData!$A$1:$V$162,F$1,FALSE)</f>
        <v>-126.83</v>
      </c>
      <c r="F22">
        <f>VLOOKUP($D22,QData!$A$1:$V$162,G$1,FALSE)</f>
        <v>362.76</v>
      </c>
      <c r="G22">
        <f>VLOOKUP($D22,QData!$A$1:$V$162,H$1,FALSE)</f>
        <v>-355.05</v>
      </c>
      <c r="H22">
        <f>VLOOKUP($D22,QData!$A$1:$V$162,I$1,FALSE)</f>
        <v>-62.58</v>
      </c>
      <c r="I22">
        <f>VLOOKUP($D22,QData!$A$1:$V$162,J$1,FALSE)</f>
        <v>-84.72</v>
      </c>
      <c r="J22">
        <f>VLOOKUP($D22,QData!$A$1:$V$162,K$1,FALSE)</f>
        <v>-481.37</v>
      </c>
      <c r="K22">
        <f>VLOOKUP($D22,QData!$A$1:$V$162,L$1,FALSE)</f>
        <v>-782.31</v>
      </c>
      <c r="L22">
        <f>VLOOKUP($D22,QData!$A$1:$V$162,M$1,FALSE)</f>
        <v>82.96</v>
      </c>
      <c r="M22">
        <f>VLOOKUP($D22,QData!$A$1:$V$162,N$1,FALSE)</f>
        <v>-429.98</v>
      </c>
      <c r="N22">
        <f>VLOOKUP($D22,QData!$A$1:$V$162,O$1,FALSE)</f>
        <v>305.37</v>
      </c>
      <c r="O22">
        <f>VLOOKUP($D22,QData!$A$1:$V$162,P$1,FALSE)</f>
        <v>506.54</v>
      </c>
      <c r="P22">
        <f>VLOOKUP($D22,QData!$A$1:$V$162,Q$1,FALSE)</f>
        <v>581.96</v>
      </c>
      <c r="Q22">
        <f>VLOOKUP($D22,QData!$A$1:$V$162,R$1,FALSE)</f>
        <v>-416.77</v>
      </c>
      <c r="R22">
        <f>VLOOKUP($D22,QData!$A$1:$V$162,S$1,FALSE)</f>
        <v>-25.52</v>
      </c>
      <c r="S22">
        <f>VLOOKUP($D22,QData!$A$1:$V$162,T$1,FALSE)</f>
        <v>-447.26</v>
      </c>
      <c r="T22">
        <f>VLOOKUP($D22,QData!$A$1:$V$162,U$1,FALSE)</f>
        <v>-151.09</v>
      </c>
      <c r="U22">
        <f>VLOOKUP($D22,QData!$A$1:$V$162,V$1,FALSE)</f>
        <v>10.67</v>
      </c>
      <c r="V22">
        <f>VLOOKUP($D22,QData!$A$1:$V$162,W$1,FALSE)</f>
        <v>-21.73</v>
      </c>
      <c r="W22">
        <f>VLOOKUP($D22,QData!$A$1:$V$162,X$1,FALSE)</f>
        <v>108.09</v>
      </c>
      <c r="X22">
        <f>VLOOKUP($D22,QData!$A$1:$V$162,Y$1,FALSE)</f>
        <v>51.42</v>
      </c>
      <c r="Y22" s="20"/>
      <c r="Z22" s="20"/>
      <c r="AA22" s="20"/>
      <c r="AB22" s="20"/>
    </row>
    <row r="23" spans="1:28" ht="17" x14ac:dyDescent="0.2">
      <c r="A23" s="6"/>
      <c r="B23" s="6"/>
      <c r="C23" s="6"/>
      <c r="D23" s="2" t="s">
        <v>124</v>
      </c>
      <c r="E23">
        <f>VLOOKUP($D23,QData!$A$1:$V$162,F$1,FALSE)</f>
        <v>9253</v>
      </c>
      <c r="F23">
        <f>VLOOKUP($D23,QData!$A$1:$V$162,G$1,FALSE)</f>
        <v>9425</v>
      </c>
      <c r="G23">
        <f>VLOOKUP($D23,QData!$A$1:$V$162,H$1,FALSE)</f>
        <v>9450</v>
      </c>
      <c r="H23">
        <f>VLOOKUP($D23,QData!$A$1:$V$162,I$1,FALSE)</f>
        <v>9381</v>
      </c>
      <c r="I23">
        <f>VLOOKUP($D23,QData!$A$1:$V$162,J$1,FALSE)</f>
        <v>9967</v>
      </c>
      <c r="J23">
        <f>VLOOKUP($D23,QData!$A$1:$V$162,K$1,FALSE)</f>
        <v>9893</v>
      </c>
      <c r="K23">
        <f>VLOOKUP($D23,QData!$A$1:$V$162,L$1,FALSE)</f>
        <v>9633</v>
      </c>
      <c r="L23">
        <f>VLOOKUP($D23,QData!$A$1:$V$162,M$1,FALSE)</f>
        <v>8449</v>
      </c>
      <c r="M23">
        <f>VLOOKUP($D23,QData!$A$1:$V$162,N$1,FALSE)</f>
        <v>7993</v>
      </c>
      <c r="N23">
        <f>VLOOKUP($D23,QData!$A$1:$V$162,O$1,FALSE)</f>
        <v>7482</v>
      </c>
      <c r="O23">
        <f>VLOOKUP($D23,QData!$A$1:$V$162,P$1,FALSE)</f>
        <v>7091</v>
      </c>
      <c r="P23">
        <f>VLOOKUP($D23,QData!$A$1:$V$162,Q$1,FALSE)</f>
        <v>6555</v>
      </c>
      <c r="Q23">
        <f>VLOOKUP($D23,QData!$A$1:$V$162,R$1,FALSE)</f>
        <v>6343</v>
      </c>
      <c r="R23">
        <f>VLOOKUP($D23,QData!$A$1:$V$162,S$1,FALSE)</f>
        <v>6173</v>
      </c>
      <c r="S23">
        <f>VLOOKUP($D23,QData!$A$1:$V$162,T$1,FALSE)</f>
        <v>6064</v>
      </c>
      <c r="T23">
        <f>VLOOKUP($D23,QData!$A$1:$V$162,U$1,FALSE)</f>
        <v>5821</v>
      </c>
      <c r="U23">
        <f>VLOOKUP($D23,QData!$A$1:$V$162,V$1,FALSE)</f>
        <v>5683</v>
      </c>
      <c r="V23">
        <f>VLOOKUP($D23,QData!$A$1:$V$162,W$1,FALSE)</f>
        <v>5519</v>
      </c>
      <c r="W23">
        <f>VLOOKUP($D23,QData!$A$1:$V$162,X$1,FALSE)</f>
        <v>5491</v>
      </c>
      <c r="X23">
        <f>VLOOKUP($D23,QData!$A$1:$V$162,Y$1,FALSE)</f>
        <v>5376</v>
      </c>
      <c r="Y23" s="6"/>
      <c r="Z23" s="6"/>
      <c r="AA23" s="6"/>
      <c r="AB23" s="6"/>
    </row>
    <row r="24" spans="1:28" ht="19" x14ac:dyDescent="0.25">
      <c r="A24" s="6"/>
      <c r="B24" s="6"/>
      <c r="C24" s="6"/>
      <c r="D24" s="7" t="s">
        <v>41</v>
      </c>
      <c r="E24" s="6"/>
      <c r="F24" s="6"/>
      <c r="G24" s="6"/>
      <c r="H24" s="6"/>
      <c r="I24" s="6"/>
      <c r="J24" s="6"/>
      <c r="K24" s="6"/>
      <c r="L24" s="6"/>
      <c r="M24" s="6"/>
      <c r="N24" s="6"/>
      <c r="O24" s="6"/>
      <c r="P24" s="6"/>
      <c r="Q24" s="6"/>
      <c r="R24" s="6"/>
      <c r="S24" s="6"/>
      <c r="T24" s="6"/>
      <c r="U24" s="6"/>
      <c r="V24" s="6"/>
      <c r="W24" s="6"/>
      <c r="X24" s="6"/>
      <c r="Y24" s="6"/>
      <c r="Z24" s="6"/>
      <c r="AA24" s="6"/>
      <c r="AB24" s="6"/>
    </row>
    <row r="25" spans="1:28" x14ac:dyDescent="0.2">
      <c r="A25" s="6"/>
      <c r="B25" s="6"/>
      <c r="C25" s="6"/>
      <c r="D25" t="s">
        <v>28</v>
      </c>
      <c r="E25">
        <f>VLOOKUP($D25,QData!$A$1:$W$202,F$1,FALSE)</f>
        <v>9.2999999999999992E-3</v>
      </c>
      <c r="F25">
        <f>VLOOKUP($D25,QData!$A$1:$W$202,G$1,FALSE)</f>
        <v>3.7000000000000002E-3</v>
      </c>
      <c r="G25">
        <f>VLOOKUP($D25,QData!$A$1:$W$202,H$1,FALSE)</f>
        <v>3.8999999999999998E-3</v>
      </c>
      <c r="H25">
        <f>VLOOKUP($D25,QData!$A$1:$W$202,I$1,FALSE)</f>
        <v>-4.7699999999999999E-2</v>
      </c>
      <c r="I25">
        <f>VLOOKUP($D25,QData!$A$1:$W$202,J$1,FALSE)</f>
        <v>-3.2000000000000001E-2</v>
      </c>
      <c r="J25">
        <f>VLOOKUP($D25,QData!$A$1:$W$202,K$1,FALSE)</f>
        <v>-2.4199999999999999E-2</v>
      </c>
      <c r="K25">
        <f>VLOOKUP($D25,QData!$A$1:$W$202,L$1,FALSE)</f>
        <v>-0.15840000000000001</v>
      </c>
      <c r="L25">
        <f>VLOOKUP($D25,QData!$A$1:$W$202,M$1,FALSE)</f>
        <v>-2.3099999999999999E-2</v>
      </c>
      <c r="M25">
        <f>VLOOKUP($D25,QData!$A$1:$W$202,N$1,FALSE)</f>
        <v>7.0199999999999999E-2</v>
      </c>
      <c r="N25">
        <f>VLOOKUP($D25,QData!$A$1:$W$202,O$1,FALSE)</f>
        <v>0.2271</v>
      </c>
      <c r="O25">
        <f>VLOOKUP($D25,QData!$A$1:$W$202,P$1,FALSE)</f>
        <v>0.2011</v>
      </c>
      <c r="P25">
        <f>VLOOKUP($D25,QData!$A$1:$W$202,Q$1,FALSE)</f>
        <v>0.222</v>
      </c>
      <c r="Q25">
        <f>VLOOKUP($D25,QData!$A$1:$W$202,R$1,FALSE)</f>
        <v>0.1201</v>
      </c>
      <c r="R25">
        <f>VLOOKUP($D25,QData!$A$1:$W$202,S$1,FALSE)</f>
        <v>9.6100000000000005E-2</v>
      </c>
      <c r="S25">
        <f>VLOOKUP($D25,QData!$A$1:$W$202,T$1,FALSE)</f>
        <v>5.6399999999999999E-2</v>
      </c>
      <c r="T25">
        <f>VLOOKUP($D25,QData!$A$1:$W$202,U$1,FALSE)</f>
        <v>4.2099999999999999E-2</v>
      </c>
      <c r="U25">
        <f>VLOOKUP($D25,QData!$A$1:$W$202,V$1,FALSE)</f>
        <v>3.6299999999999999E-2</v>
      </c>
      <c r="V25">
        <f>VLOOKUP($D25,QData!$A$1:$W$202,W$1,FALSE)</f>
        <v>5.0200000000000002E-2</v>
      </c>
      <c r="W25">
        <f>VLOOKUP($D25,QData!$A$1:$W$202,X$1,FALSE)</f>
        <v>2.9600000000000001E-2</v>
      </c>
      <c r="X25">
        <f>VLOOKUP($D25,QData!$A$1:$W$202,Y$1,FALSE)</f>
        <v>4.8899999999999999E-2</v>
      </c>
      <c r="Y25" s="6"/>
      <c r="Z25" s="6"/>
      <c r="AA25" s="6"/>
      <c r="AB25" s="6"/>
    </row>
    <row r="26" spans="1:28" x14ac:dyDescent="0.2">
      <c r="A26" s="6"/>
      <c r="B26" s="6"/>
      <c r="C26" s="6"/>
      <c r="D26" t="s">
        <v>27</v>
      </c>
      <c r="E26">
        <f>VLOOKUP($D26,QData!$A$1:$W$202,F$1,FALSE)</f>
        <v>7.6E-3</v>
      </c>
      <c r="F26">
        <f>VLOOKUP($D26,QData!$A$1:$W$202,G$1,FALSE)</f>
        <v>3.0000000000000001E-3</v>
      </c>
      <c r="G26">
        <f>VLOOKUP($D26,QData!$A$1:$W$202,H$1,FALSE)</f>
        <v>3.2000000000000002E-3</v>
      </c>
      <c r="H26">
        <f>VLOOKUP($D26,QData!$A$1:$W$202,I$1,FALSE)</f>
        <v>-3.9E-2</v>
      </c>
      <c r="I26">
        <f>VLOOKUP($D26,QData!$A$1:$W$202,J$1,FALSE)</f>
        <v>-2.6200000000000001E-2</v>
      </c>
      <c r="J26">
        <f>VLOOKUP($D26,QData!$A$1:$W$202,K$1,FALSE)</f>
        <v>-1.9099999999999999E-2</v>
      </c>
      <c r="K26">
        <f>VLOOKUP($D26,QData!$A$1:$W$202,L$1,FALSE)</f>
        <v>-0.1191</v>
      </c>
      <c r="L26">
        <f>VLOOKUP($D26,QData!$A$1:$W$202,M$1,FALSE)</f>
        <v>-1.6899999999999998E-2</v>
      </c>
      <c r="M26">
        <f>VLOOKUP($D26,QData!$A$1:$W$202,N$1,FALSE)</f>
        <v>5.0900000000000001E-2</v>
      </c>
      <c r="N26">
        <f>VLOOKUP($D26,QData!$A$1:$W$202,O$1,FALSE)</f>
        <v>0.1676</v>
      </c>
      <c r="O26">
        <f>VLOOKUP($D26,QData!$A$1:$W$202,P$1,FALSE)</f>
        <v>0.1512</v>
      </c>
      <c r="P26">
        <f>VLOOKUP($D26,QData!$A$1:$W$202,Q$1,FALSE)</f>
        <v>0.1716</v>
      </c>
      <c r="Q26">
        <f>VLOOKUP($D26,QData!$A$1:$W$202,R$1,FALSE)</f>
        <v>9.3200000000000005E-2</v>
      </c>
      <c r="R26">
        <f>VLOOKUP($D26,QData!$A$1:$W$202,S$1,FALSE)</f>
        <v>7.3099999999999998E-2</v>
      </c>
      <c r="S26">
        <f>VLOOKUP($D26,QData!$A$1:$W$202,T$1,FALSE)</f>
        <v>4.2599999999999999E-2</v>
      </c>
      <c r="T26">
        <f>VLOOKUP($D26,QData!$A$1:$W$202,U$1,FALSE)</f>
        <v>3.2399999999999998E-2</v>
      </c>
      <c r="U26">
        <f>VLOOKUP($D26,QData!$A$1:$W$202,V$1,FALSE)</f>
        <v>2.87E-2</v>
      </c>
      <c r="V26">
        <f>VLOOKUP($D26,QData!$A$1:$W$202,W$1,FALSE)</f>
        <v>3.9399999999999998E-2</v>
      </c>
      <c r="W26">
        <f>VLOOKUP($D26,QData!$A$1:$W$202,X$1,FALSE)</f>
        <v>2.3099999999999999E-2</v>
      </c>
      <c r="X26">
        <f>VLOOKUP($D26,QData!$A$1:$W$202,Y$1,FALSE)</f>
        <v>3.8100000000000002E-2</v>
      </c>
      <c r="Y26" s="6"/>
      <c r="Z26" s="6"/>
      <c r="AA26" s="6"/>
      <c r="AB26" s="6"/>
    </row>
    <row r="27" spans="1:28" ht="19" x14ac:dyDescent="0.25">
      <c r="A27" s="6"/>
      <c r="B27" s="6"/>
      <c r="C27" s="6"/>
      <c r="D27" s="7" t="s">
        <v>40</v>
      </c>
      <c r="E27" s="6"/>
      <c r="F27" s="6"/>
      <c r="G27" s="6"/>
      <c r="H27" s="6"/>
      <c r="I27" s="6"/>
      <c r="J27" s="6"/>
      <c r="K27" s="6"/>
      <c r="L27" s="6"/>
      <c r="M27" s="6"/>
      <c r="N27" s="6"/>
      <c r="O27" s="6"/>
      <c r="P27" s="6"/>
      <c r="Q27" s="6"/>
      <c r="R27" s="6"/>
      <c r="S27" s="6"/>
      <c r="T27" s="6"/>
      <c r="U27" s="6"/>
      <c r="V27" s="6"/>
      <c r="W27" s="6"/>
      <c r="X27" s="6"/>
      <c r="Y27" s="6"/>
      <c r="Z27" s="6"/>
      <c r="AA27" s="6"/>
      <c r="AB27" s="6"/>
    </row>
    <row r="28" spans="1:28" x14ac:dyDescent="0.2">
      <c r="A28" s="6"/>
      <c r="B28" s="6"/>
      <c r="C28" s="6"/>
      <c r="D28" t="s">
        <v>9</v>
      </c>
      <c r="E28" s="9">
        <f>VLOOKUP($D28,QData!$A$1:$W$202,F$1,FALSE)</f>
        <v>9536</v>
      </c>
      <c r="F28" s="9">
        <f>VLOOKUP($D28,QData!$A$1:$W$202,G$1,FALSE)</f>
        <v>12010</v>
      </c>
      <c r="G28" s="9">
        <f>VLOOKUP($D28,QData!$A$1:$W$202,H$1,FALSE)</f>
        <v>13342</v>
      </c>
      <c r="H28" s="9">
        <f>VLOOKUP($D28,QData!$A$1:$W$202,I$1,FALSE)</f>
        <v>14645</v>
      </c>
      <c r="I28" s="9">
        <f>VLOOKUP($D28,QData!$A$1:$W$202,J$1,FALSE)</f>
        <v>15457</v>
      </c>
      <c r="J28" s="9">
        <f>VLOOKUP($D28,QData!$A$1:$W$202,K$1,FALSE)</f>
        <v>15341</v>
      </c>
      <c r="K28" s="9">
        <f>VLOOKUP($D28,QData!$A$1:$W$202,L$1,FALSE)</f>
        <v>18950</v>
      </c>
      <c r="L28" s="9">
        <f>VLOOKUP($D28,QData!$A$1:$W$202,M$1,FALSE)</f>
        <v>19426</v>
      </c>
      <c r="M28" s="9">
        <f>VLOOKUP($D28,QData!$A$1:$W$202,N$1,FALSE)</f>
        <v>22291</v>
      </c>
      <c r="N28" s="9">
        <f>VLOOKUP($D28,QData!$A$1:$W$202,O$1,FALSE)</f>
        <v>28209</v>
      </c>
      <c r="O28" s="9">
        <f>VLOOKUP($D28,QData!$A$1:$W$202,P$1,FALSE)</f>
        <v>27949</v>
      </c>
      <c r="P28" s="9">
        <f>VLOOKUP($D28,QData!$A$1:$W$202,Q$1,FALSE)</f>
        <v>27757</v>
      </c>
      <c r="Q28" s="9">
        <f>VLOOKUP($D28,QData!$A$1:$W$202,R$1,FALSE)</f>
        <v>33853</v>
      </c>
      <c r="R28" s="9">
        <f>VLOOKUP($D28,QData!$A$1:$W$202,S$1,FALSE)</f>
        <v>26861</v>
      </c>
      <c r="S28" s="9">
        <f>VLOOKUP($D28,QData!$A$1:$W$202,T$1,FALSE)</f>
        <v>28156</v>
      </c>
      <c r="T28" s="9">
        <f>VLOOKUP($D28,QData!$A$1:$W$202,U$1,FALSE)</f>
        <v>29144</v>
      </c>
      <c r="U28" s="9">
        <f>VLOOKUP($D28,QData!$A$1:$W$202,V$1,FALSE)</f>
        <v>27206</v>
      </c>
      <c r="V28" s="9">
        <f>VLOOKUP($D28,QData!$A$1:$W$202,W$1,FALSE)</f>
        <v>21451</v>
      </c>
      <c r="W28" s="9">
        <f>VLOOKUP($D28,QData!$A$1:$W$202,X$1,FALSE)</f>
        <v>20181</v>
      </c>
      <c r="X28" s="9">
        <f>VLOOKUP($D28,QData!$A$1:$W$202,Y$1,FALSE)</f>
        <v>18882</v>
      </c>
      <c r="Y28" s="6"/>
      <c r="Z28" s="6"/>
      <c r="AA28" s="6"/>
      <c r="AB28" s="6"/>
    </row>
    <row r="29" spans="1:28" x14ac:dyDescent="0.2">
      <c r="A29" s="6"/>
      <c r="B29" s="6"/>
      <c r="C29" s="6"/>
      <c r="D29" t="s">
        <v>24</v>
      </c>
      <c r="E29" s="9">
        <f>VLOOKUP($D29,QData!$A$1:$W$202,F$1,FALSE)</f>
        <v>1.91</v>
      </c>
      <c r="F29" s="9">
        <f>VLOOKUP($D29,QData!$A$1:$W$202,G$1,FALSE)</f>
        <v>2.4</v>
      </c>
      <c r="G29" s="9">
        <f>VLOOKUP($D29,QData!$A$1:$W$202,H$1,FALSE)</f>
        <v>2.62</v>
      </c>
      <c r="H29" s="9">
        <f>VLOOKUP($D29,QData!$A$1:$W$202,I$1,FALSE)</f>
        <v>2.72</v>
      </c>
      <c r="I29" s="9">
        <f>VLOOKUP($D29,QData!$A$1:$W$202,J$1,FALSE)</f>
        <v>2.38</v>
      </c>
      <c r="J29" s="9">
        <f>VLOOKUP($D29,QData!$A$1:$W$202,K$1,FALSE)</f>
        <v>2.06</v>
      </c>
      <c r="K29" s="9">
        <f>VLOOKUP($D29,QData!$A$1:$W$202,L$1,FALSE)</f>
        <v>2.2599999999999998</v>
      </c>
      <c r="L29" s="9">
        <f>VLOOKUP($D29,QData!$A$1:$W$202,M$1,FALSE)</f>
        <v>2.02</v>
      </c>
      <c r="M29" s="9">
        <f>VLOOKUP($D29,QData!$A$1:$W$202,N$1,FALSE)</f>
        <v>2.2599999999999998</v>
      </c>
      <c r="N29" s="9">
        <f>VLOOKUP($D29,QData!$A$1:$W$202,O$1,FALSE)</f>
        <v>2.92</v>
      </c>
      <c r="O29" s="9">
        <f>VLOOKUP($D29,QData!$A$1:$W$202,P$1,FALSE)</f>
        <v>3.19</v>
      </c>
      <c r="P29" s="9">
        <f>VLOOKUP($D29,QData!$A$1:$W$202,Q$1,FALSE)</f>
        <v>3.79</v>
      </c>
      <c r="Q29" s="9">
        <f>VLOOKUP($D29,QData!$A$1:$W$202,R$1,FALSE)</f>
        <v>6.05</v>
      </c>
      <c r="R29" s="9">
        <f>VLOOKUP($D29,QData!$A$1:$W$202,S$1,FALSE)</f>
        <v>6.2</v>
      </c>
      <c r="S29" s="9">
        <f>VLOOKUP($D29,QData!$A$1:$W$202,T$1,FALSE)</f>
        <v>7.76</v>
      </c>
      <c r="T29" s="9">
        <f>VLOOKUP($D29,QData!$A$1:$W$202,U$1,FALSE)</f>
        <v>8.76</v>
      </c>
      <c r="U29" s="9">
        <f>VLOOKUP($D29,QData!$A$1:$W$202,V$1,FALSE)</f>
        <v>8.2100000000000009</v>
      </c>
      <c r="V29" s="9">
        <f>VLOOKUP($D29,QData!$A$1:$W$202,W$1,FALSE)</f>
        <v>6.64</v>
      </c>
      <c r="W29" s="9">
        <f>VLOOKUP($D29,QData!$A$1:$W$202,X$1,FALSE)</f>
        <v>6.27</v>
      </c>
      <c r="X29" s="9">
        <f>VLOOKUP($D29,QData!$A$1:$W$202,Y$1,FALSE)</f>
        <v>6.04</v>
      </c>
      <c r="Y29" s="6"/>
      <c r="Z29" s="6"/>
      <c r="AA29" s="6"/>
      <c r="AB29" s="6"/>
    </row>
    <row r="30" spans="1:28" x14ac:dyDescent="0.2">
      <c r="A30" s="6"/>
      <c r="B30" s="6"/>
      <c r="C30" s="6"/>
      <c r="D30" t="s">
        <v>25</v>
      </c>
      <c r="E30" t="str">
        <f>VLOOKUP($D30,QData!$A$1:$W$202,F$1,FALSE)</f>
        <v>-</v>
      </c>
      <c r="F30" t="str">
        <f>VLOOKUP($D30,QData!$A$1:$W$202,G$1,FALSE)</f>
        <v>-</v>
      </c>
      <c r="G30">
        <f>VLOOKUP($D30,QData!$A$1:$W$202,H$1,FALSE)</f>
        <v>-95.58</v>
      </c>
      <c r="H30" t="str">
        <f>VLOOKUP($D30,QData!$A$1:$W$202,I$1,FALSE)</f>
        <v>-</v>
      </c>
      <c r="I30" t="str">
        <f>VLOOKUP($D30,QData!$A$1:$W$202,J$1,FALSE)</f>
        <v>-</v>
      </c>
      <c r="J30" t="str">
        <f>VLOOKUP($D30,QData!$A$1:$W$202,K$1,FALSE)</f>
        <v>-</v>
      </c>
      <c r="K30" t="str">
        <f>VLOOKUP($D30,QData!$A$1:$W$202,L$1,FALSE)</f>
        <v>-</v>
      </c>
      <c r="L30" t="str">
        <f>VLOOKUP($D30,QData!$A$1:$W$202,M$1,FALSE)</f>
        <v>-</v>
      </c>
      <c r="M30">
        <f>VLOOKUP($D30,QData!$A$1:$W$202,N$1,FALSE)</f>
        <v>47.95</v>
      </c>
      <c r="N30" t="str">
        <f>VLOOKUP($D30,QData!$A$1:$W$202,O$1,FALSE)</f>
        <v>-</v>
      </c>
      <c r="O30">
        <f>VLOOKUP($D30,QData!$A$1:$W$202,P$1,FALSE)</f>
        <v>28.6</v>
      </c>
      <c r="P30">
        <f>VLOOKUP($D30,QData!$A$1:$W$202,Q$1,FALSE)</f>
        <v>42.95</v>
      </c>
      <c r="Q30">
        <f>VLOOKUP($D30,QData!$A$1:$W$202,R$1,FALSE)</f>
        <v>-110.06</v>
      </c>
      <c r="R30" t="str">
        <f>VLOOKUP($D30,QData!$A$1:$W$202,S$1,FALSE)</f>
        <v>-</v>
      </c>
      <c r="S30" t="str">
        <f>VLOOKUP($D30,QData!$A$1:$W$202,T$1,FALSE)</f>
        <v>-</v>
      </c>
      <c r="T30" t="str">
        <f>VLOOKUP($D30,QData!$A$1:$W$202,U$1,FALSE)</f>
        <v>-</v>
      </c>
      <c r="U30" t="str">
        <f>VLOOKUP($D30,QData!$A$1:$W$202,V$1,FALSE)</f>
        <v>-</v>
      </c>
      <c r="V30">
        <f>VLOOKUP($D30,QData!$A$1:$W$202,W$1,FALSE)</f>
        <v>144.5</v>
      </c>
      <c r="W30" t="str">
        <f>VLOOKUP($D30,QData!$A$1:$W$202,X$1,FALSE)</f>
        <v>-</v>
      </c>
      <c r="X30">
        <f>VLOOKUP($D30,QData!$A$1:$W$202,Y$1,FALSE)</f>
        <v>-366.19</v>
      </c>
      <c r="Y30" s="6"/>
      <c r="Z30" s="6"/>
      <c r="AA30" s="6"/>
      <c r="AB30" s="6"/>
    </row>
    <row r="31" spans="1:28" ht="19" x14ac:dyDescent="0.25">
      <c r="A31" s="6"/>
      <c r="B31" s="6"/>
      <c r="C31" s="6"/>
      <c r="D31" s="7" t="s">
        <v>39</v>
      </c>
      <c r="E31" s="6"/>
      <c r="F31" s="6"/>
      <c r="G31" s="6"/>
      <c r="H31" s="6"/>
      <c r="I31" s="6"/>
      <c r="J31" s="6"/>
      <c r="K31" s="6"/>
      <c r="L31" s="6"/>
      <c r="M31" s="6"/>
      <c r="N31" s="6"/>
      <c r="O31" s="6"/>
      <c r="P31" s="6"/>
      <c r="Q31" s="6"/>
      <c r="R31" s="6"/>
      <c r="S31" s="6"/>
      <c r="T31" s="6"/>
      <c r="U31" s="6"/>
      <c r="V31" s="6"/>
      <c r="W31" s="6"/>
      <c r="X31" s="6"/>
      <c r="Y31" s="6"/>
      <c r="Z31" s="6"/>
      <c r="AA31" s="6"/>
      <c r="AB31" s="6"/>
    </row>
    <row r="32" spans="1:28" x14ac:dyDescent="0.2">
      <c r="A32" s="6"/>
      <c r="B32" s="6"/>
      <c r="C32" s="6"/>
      <c r="D32" t="s">
        <v>33</v>
      </c>
      <c r="E32">
        <f>VLOOKUP($D32,QData!$A$1:$V$162,F$1,FALSE)</f>
        <v>0.19</v>
      </c>
      <c r="F32">
        <f>VLOOKUP($D32,QData!$A$1:$V$162,G$1,FALSE)</f>
        <v>0</v>
      </c>
      <c r="G32">
        <f>VLOOKUP($D32,QData!$A$1:$V$162,H$1,FALSE)</f>
        <v>0.28999999999999998</v>
      </c>
      <c r="H32">
        <f>VLOOKUP($D32,QData!$A$1:$V$162,I$1,FALSE)</f>
        <v>-9.4499999999999993</v>
      </c>
      <c r="I32">
        <f>VLOOKUP($D32,QData!$A$1:$V$162,J$1,FALSE)</f>
        <v>-1.96</v>
      </c>
      <c r="J32">
        <f>VLOOKUP($D32,QData!$A$1:$V$162,K$1,FALSE)</f>
        <v>-0.08</v>
      </c>
      <c r="K32">
        <f>VLOOKUP($D32,QData!$A$1:$V$162,L$1,FALSE)</f>
        <v>-5.26</v>
      </c>
      <c r="L32">
        <f>VLOOKUP($D32,QData!$A$1:$V$162,M$1,FALSE)</f>
        <v>2.58</v>
      </c>
      <c r="M32">
        <f>VLOOKUP($D32,QData!$A$1:$V$162,N$1,FALSE)</f>
        <v>5.54</v>
      </c>
      <c r="N32">
        <f>VLOOKUP($D32,QData!$A$1:$V$162,O$1,FALSE)</f>
        <v>10.57</v>
      </c>
      <c r="O32">
        <f>VLOOKUP($D32,QData!$A$1:$V$162,P$1,FALSE)</f>
        <v>9.67</v>
      </c>
      <c r="P32">
        <f>VLOOKUP($D32,QData!$A$1:$V$162,Q$1,FALSE)</f>
        <v>7.66</v>
      </c>
      <c r="Q32">
        <f>VLOOKUP($D32,QData!$A$1:$V$162,R$1,FALSE)</f>
        <v>3.47</v>
      </c>
      <c r="R32">
        <f>VLOOKUP($D32,QData!$A$1:$V$162,S$1,FALSE)</f>
        <v>2.16</v>
      </c>
      <c r="S32">
        <f>VLOOKUP($D32,QData!$A$1:$V$162,T$1,FALSE)</f>
        <v>-0.03</v>
      </c>
      <c r="T32">
        <f>VLOOKUP($D32,QData!$A$1:$V$162,U$1,FALSE)</f>
        <v>-3.36</v>
      </c>
      <c r="U32">
        <f>VLOOKUP($D32,QData!$A$1:$V$162,V$1,FALSE)</f>
        <v>3.63</v>
      </c>
      <c r="V32">
        <f>VLOOKUP($D32,QData!$A$1:$V$162,W$1,FALSE)</f>
        <v>0.85</v>
      </c>
      <c r="W32">
        <f>VLOOKUP($D32,QData!$A$1:$V$162,X$1,FALSE)</f>
        <v>0.79</v>
      </c>
      <c r="X32">
        <f>VLOOKUP($D32,QData!$A$1:$V$162,Y$1,FALSE)</f>
        <v>0.92</v>
      </c>
      <c r="Y32" s="6"/>
      <c r="Z32" s="6"/>
      <c r="AA32" s="6"/>
      <c r="AB32" s="6"/>
    </row>
    <row r="33" spans="1:28" x14ac:dyDescent="0.2">
      <c r="A33" s="6"/>
      <c r="B33" s="6"/>
      <c r="C33" s="6"/>
      <c r="D33" t="s">
        <v>34</v>
      </c>
      <c r="E33">
        <f>VLOOKUP($D33,QData!$A$1:$V$162,F$1,FALSE)</f>
        <v>0.19</v>
      </c>
      <c r="F33">
        <f>VLOOKUP($D33,QData!$A$1:$V$162,G$1,FALSE)</f>
        <v>0</v>
      </c>
      <c r="G33">
        <f>VLOOKUP($D33,QData!$A$1:$V$162,H$1,FALSE)</f>
        <v>0.28999999999999998</v>
      </c>
      <c r="H33">
        <f>VLOOKUP($D33,QData!$A$1:$V$162,I$1,FALSE)</f>
        <v>-9.4499999999999993</v>
      </c>
      <c r="I33">
        <f>VLOOKUP($D33,QData!$A$1:$V$162,J$1,FALSE)</f>
        <v>-1.96</v>
      </c>
      <c r="J33">
        <f>VLOOKUP($D33,QData!$A$1:$V$162,K$1,FALSE)</f>
        <v>-0.08</v>
      </c>
      <c r="K33">
        <f>VLOOKUP($D33,QData!$A$1:$V$162,L$1,FALSE)</f>
        <v>-5.26</v>
      </c>
      <c r="L33">
        <f>VLOOKUP($D33,QData!$A$1:$V$162,M$1,FALSE)</f>
        <v>2.57</v>
      </c>
      <c r="M33">
        <f>VLOOKUP($D33,QData!$A$1:$V$162,N$1,FALSE)</f>
        <v>5.52</v>
      </c>
      <c r="N33">
        <f>VLOOKUP($D33,QData!$A$1:$V$162,O$1,FALSE)</f>
        <v>10.51</v>
      </c>
      <c r="O33">
        <f>VLOOKUP($D33,QData!$A$1:$V$162,P$1,FALSE)</f>
        <v>9.6</v>
      </c>
      <c r="P33">
        <f>VLOOKUP($D33,QData!$A$1:$V$162,Q$1,FALSE)</f>
        <v>7.61</v>
      </c>
      <c r="Q33">
        <f>VLOOKUP($D33,QData!$A$1:$V$162,R$1,FALSE)</f>
        <v>3.46</v>
      </c>
      <c r="R33">
        <f>VLOOKUP($D33,QData!$A$1:$V$162,S$1,FALSE)</f>
        <v>2.15</v>
      </c>
      <c r="S33">
        <f>VLOOKUP($D33,QData!$A$1:$V$162,T$1,FALSE)</f>
        <v>-0.04</v>
      </c>
      <c r="T33">
        <f>VLOOKUP($D33,QData!$A$1:$V$162,U$1,FALSE)</f>
        <v>-3.36</v>
      </c>
      <c r="U33">
        <f>VLOOKUP($D33,QData!$A$1:$V$162,V$1,FALSE)</f>
        <v>3.62</v>
      </c>
      <c r="V33">
        <f>VLOOKUP($D33,QData!$A$1:$V$162,W$1,FALSE)</f>
        <v>0.84</v>
      </c>
      <c r="W33">
        <f>VLOOKUP($D33,QData!$A$1:$V$162,X$1,FALSE)</f>
        <v>0.79</v>
      </c>
      <c r="X33">
        <f>VLOOKUP($D33,QData!$A$1:$V$162,Y$1,FALSE)</f>
        <v>0.92</v>
      </c>
      <c r="Y33" s="6"/>
      <c r="Z33" s="6"/>
      <c r="AA33" s="6"/>
      <c r="AB33" s="6"/>
    </row>
    <row r="34" spans="1:28" x14ac:dyDescent="0.2">
      <c r="A34" s="6"/>
      <c r="B34" s="6"/>
      <c r="C34" s="6"/>
      <c r="D34" t="s">
        <v>18</v>
      </c>
      <c r="E34">
        <f>VLOOKUP($D34,QData!$A$1:$V$162,F$1,FALSE)</f>
        <v>-1.08</v>
      </c>
      <c r="F34">
        <f>VLOOKUP($D34,QData!$A$1:$V$162,G$1,FALSE)</f>
        <v>3.08</v>
      </c>
      <c r="G34">
        <f>VLOOKUP($D34,QData!$A$1:$V$162,H$1,FALSE)</f>
        <v>-3.02</v>
      </c>
      <c r="H34">
        <f>VLOOKUP($D34,QData!$A$1:$V$162,I$1,FALSE)</f>
        <v>-0.53</v>
      </c>
      <c r="I34">
        <f>VLOOKUP($D34,QData!$A$1:$V$162,J$1,FALSE)</f>
        <v>-0.72</v>
      </c>
      <c r="J34">
        <f>VLOOKUP($D34,QData!$A$1:$V$162,K$1,FALSE)</f>
        <v>-4.0999999999999996</v>
      </c>
      <c r="K34">
        <f>VLOOKUP($D34,QData!$A$1:$V$162,L$1,FALSE)</f>
        <v>-6.67</v>
      </c>
      <c r="L34">
        <f>VLOOKUP($D34,QData!$A$1:$V$162,M$1,FALSE)</f>
        <v>0.7</v>
      </c>
      <c r="M34">
        <f>VLOOKUP($D34,QData!$A$1:$V$162,N$1,FALSE)</f>
        <v>-3.65</v>
      </c>
      <c r="N34">
        <f>VLOOKUP($D34,QData!$A$1:$V$162,O$1,FALSE)</f>
        <v>2.59</v>
      </c>
      <c r="O34">
        <f>VLOOKUP($D34,QData!$A$1:$V$162,P$1,FALSE)</f>
        <v>4.29</v>
      </c>
      <c r="P34">
        <f>VLOOKUP($D34,QData!$A$1:$V$162,Q$1,FALSE)</f>
        <v>4.9400000000000004</v>
      </c>
      <c r="Q34">
        <f>VLOOKUP($D34,QData!$A$1:$V$162,R$1,FALSE)</f>
        <v>-3.54</v>
      </c>
      <c r="R34">
        <f>VLOOKUP($D34,QData!$A$1:$V$162,S$1,FALSE)</f>
        <v>-0.22</v>
      </c>
      <c r="S34">
        <f>VLOOKUP($D34,QData!$A$1:$V$162,T$1,FALSE)</f>
        <v>-3.82</v>
      </c>
      <c r="T34">
        <f>VLOOKUP($D34,QData!$A$1:$V$162,U$1,FALSE)</f>
        <v>-1.29</v>
      </c>
      <c r="U34">
        <f>VLOOKUP($D34,QData!$A$1:$V$162,V$1,FALSE)</f>
        <v>0.09</v>
      </c>
      <c r="V34">
        <f>VLOOKUP($D34,QData!$A$1:$V$162,W$1,FALSE)</f>
        <v>-0.19</v>
      </c>
      <c r="W34">
        <f>VLOOKUP($D34,QData!$A$1:$V$162,X$1,FALSE)</f>
        <v>1.01</v>
      </c>
      <c r="X34">
        <f>VLOOKUP($D34,QData!$A$1:$V$162,Y$1,FALSE)</f>
        <v>0.48</v>
      </c>
      <c r="Y34" s="6"/>
      <c r="Z34" s="6"/>
      <c r="AA34" s="6"/>
      <c r="AB34" s="6"/>
    </row>
    <row r="35" spans="1:28" x14ac:dyDescent="0.2">
      <c r="A35" s="6"/>
      <c r="B35" s="6"/>
      <c r="C35" s="6"/>
      <c r="D35" t="s">
        <v>35</v>
      </c>
      <c r="E35" t="str">
        <f>VLOOKUP($D35,QData!$A$1:$V$162,F$1,FALSE)</f>
        <v>-</v>
      </c>
      <c r="F35">
        <f>VLOOKUP($D35,QData!$A$1:$V$162,G$1,FALSE)</f>
        <v>0.40500000000000003</v>
      </c>
      <c r="G35">
        <f>VLOOKUP($D35,QData!$A$1:$V$162,H$1,FALSE)</f>
        <v>0.40500000000000003</v>
      </c>
      <c r="H35">
        <f>VLOOKUP($D35,QData!$A$1:$V$162,I$1,FALSE)</f>
        <v>0.40500000000000003</v>
      </c>
      <c r="I35">
        <f>VLOOKUP($D35,QData!$A$1:$V$162,J$1,FALSE)</f>
        <v>0.4</v>
      </c>
      <c r="J35">
        <f>VLOOKUP($D35,QData!$A$1:$V$162,K$1,FALSE)</f>
        <v>0.4</v>
      </c>
      <c r="K35">
        <f>VLOOKUP($D35,QData!$A$1:$V$162,L$1,FALSE)</f>
        <v>0.4</v>
      </c>
      <c r="L35">
        <f>VLOOKUP($D35,QData!$A$1:$V$162,M$1,FALSE)</f>
        <v>0.4</v>
      </c>
      <c r="M35">
        <f>VLOOKUP($D35,QData!$A$1:$V$162,N$1,FALSE)</f>
        <v>0.4</v>
      </c>
      <c r="N35">
        <f>VLOOKUP($D35,QData!$A$1:$V$162,O$1,FALSE)</f>
        <v>0.4</v>
      </c>
      <c r="O35">
        <f>VLOOKUP($D35,QData!$A$1:$V$162,P$1,FALSE)</f>
        <v>0.39500000000000002</v>
      </c>
      <c r="P35">
        <f>VLOOKUP($D35,QData!$A$1:$V$162,Q$1,FALSE)</f>
        <v>0.39500000000000002</v>
      </c>
      <c r="Q35">
        <f>VLOOKUP($D35,QData!$A$1:$V$162,R$1,FALSE)</f>
        <v>0.39500000000000002</v>
      </c>
      <c r="R35">
        <f>VLOOKUP($D35,QData!$A$1:$V$162,S$1,FALSE)</f>
        <v>0.39500000000000002</v>
      </c>
      <c r="S35">
        <f>VLOOKUP($D35,QData!$A$1:$V$162,T$1,FALSE)</f>
        <v>0.39</v>
      </c>
      <c r="T35">
        <f>VLOOKUP($D35,QData!$A$1:$V$162,U$1,FALSE)</f>
        <v>0.39</v>
      </c>
      <c r="U35">
        <f>VLOOKUP($D35,QData!$A$1:$V$162,V$1,FALSE)</f>
        <v>0.39</v>
      </c>
      <c r="V35">
        <f>VLOOKUP($D35,QData!$A$1:$V$162,W$1,FALSE)</f>
        <v>0.39</v>
      </c>
      <c r="W35">
        <f>VLOOKUP($D35,QData!$A$1:$V$162,X$1,FALSE)</f>
        <v>0.38500000000000001</v>
      </c>
      <c r="X35">
        <f>VLOOKUP($D35,QData!$A$1:$V$162,Y$1,FALSE)</f>
        <v>0.38500000000000001</v>
      </c>
      <c r="Y35" s="6"/>
      <c r="Z35" s="6"/>
      <c r="AA35" s="6"/>
      <c r="AB35" s="6"/>
    </row>
    <row r="36" spans="1:28" x14ac:dyDescent="0.2">
      <c r="A36" s="6"/>
      <c r="B36" s="6"/>
      <c r="C36" s="6"/>
      <c r="D36" s="36" t="s">
        <v>112</v>
      </c>
      <c r="E36">
        <f>VLOOKUP($D36,QData!$A$1:$V$162,F$1,FALSE)</f>
        <v>118</v>
      </c>
      <c r="F36">
        <f>VLOOKUP($D36,QData!$A$1:$V$162,G$1,FALSE)</f>
        <v>118</v>
      </c>
      <c r="G36">
        <f>VLOOKUP($D36,QData!$A$1:$V$162,H$1,FALSE)</f>
        <v>118</v>
      </c>
      <c r="H36">
        <f>VLOOKUP($D36,QData!$A$1:$V$162,I$1,FALSE)</f>
        <v>118</v>
      </c>
      <c r="I36">
        <f>VLOOKUP($D36,QData!$A$1:$V$162,J$1,FALSE)</f>
        <v>118</v>
      </c>
      <c r="J36">
        <f>VLOOKUP($D36,QData!$A$1:$V$162,K$1,FALSE)</f>
        <v>117</v>
      </c>
      <c r="K36">
        <f>VLOOKUP($D36,QData!$A$1:$V$162,L$1,FALSE)</f>
        <v>117</v>
      </c>
      <c r="L36">
        <f>VLOOKUP($D36,QData!$A$1:$V$162,M$1,FALSE)</f>
        <v>117</v>
      </c>
      <c r="M36">
        <f>VLOOKUP($D36,QData!$A$1:$V$162,N$1,FALSE)</f>
        <v>117</v>
      </c>
      <c r="N36">
        <f>VLOOKUP($D36,QData!$A$1:$V$162,O$1,FALSE)</f>
        <v>117</v>
      </c>
      <c r="O36">
        <f>VLOOKUP($D36,QData!$A$1:$V$162,P$1,FALSE)</f>
        <v>117</v>
      </c>
      <c r="P36">
        <f>VLOOKUP($D36,QData!$A$1:$V$162,Q$1,FALSE)</f>
        <v>117</v>
      </c>
      <c r="Q36">
        <f>VLOOKUP($D36,QData!$A$1:$V$162,R$1,FALSE)</f>
        <v>117</v>
      </c>
      <c r="R36">
        <f>VLOOKUP($D36,QData!$A$1:$V$162,S$1,FALSE)</f>
        <v>117</v>
      </c>
      <c r="S36">
        <f>VLOOKUP($D36,QData!$A$1:$V$162,T$1,FALSE)</f>
        <v>117</v>
      </c>
      <c r="T36">
        <f>VLOOKUP($D36,QData!$A$1:$V$162,U$1,FALSE)</f>
        <v>117</v>
      </c>
      <c r="U36">
        <f>VLOOKUP($D36,QData!$A$1:$V$162,V$1,FALSE)</f>
        <v>117</v>
      </c>
      <c r="V36">
        <f>VLOOKUP($D36,QData!$A$1:$V$162,W$1,FALSE)</f>
        <v>113</v>
      </c>
      <c r="W36">
        <f>VLOOKUP($D36,QData!$A$1:$V$162,X$1,FALSE)</f>
        <v>107</v>
      </c>
      <c r="X36">
        <f>VLOOKUP($D36,QData!$A$1:$V$162,Y$1,FALSE)</f>
        <v>106</v>
      </c>
      <c r="Y36" s="6"/>
      <c r="Z36" s="6"/>
      <c r="AA36" s="6"/>
      <c r="AB36" s="6"/>
    </row>
    <row r="37" spans="1:28" x14ac:dyDescent="0.2">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row>
    <row r="38" spans="1:28" x14ac:dyDescent="0.2">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row>
    <row r="39" spans="1:28" x14ac:dyDescent="0.2">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row>
    <row r="40" spans="1:28" x14ac:dyDescent="0.2">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row>
    <row r="41" spans="1:28" x14ac:dyDescent="0.2">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row>
    <row r="42" spans="1:28" x14ac:dyDescent="0.2">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row>
    <row r="43" spans="1:28" x14ac:dyDescent="0.2">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row>
    <row r="44" spans="1:28" x14ac:dyDescent="0.2">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row>
    <row r="45" spans="1:28" x14ac:dyDescent="0.2">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row>
    <row r="46" spans="1:28" x14ac:dyDescent="0.2">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row>
    <row r="47" spans="1:28" x14ac:dyDescent="0.2">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row>
    <row r="48" spans="1:28" x14ac:dyDescent="0.2">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row>
    <row r="49" spans="1:28" x14ac:dyDescent="0.2">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row>
    <row r="50" spans="1:28" x14ac:dyDescent="0.2">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row>
    <row r="51" spans="1:28" x14ac:dyDescent="0.2">
      <c r="D51" s="6"/>
      <c r="E51" s="6"/>
      <c r="F51" s="6"/>
      <c r="G51" s="6"/>
      <c r="H51" s="6"/>
      <c r="I51" s="6"/>
      <c r="J51" s="6"/>
      <c r="K51" s="6"/>
      <c r="L51" s="6"/>
      <c r="M51" s="6"/>
      <c r="N51" s="6"/>
      <c r="O51" s="6"/>
      <c r="P51" s="6"/>
      <c r="Q51" s="6"/>
      <c r="R51" s="6"/>
      <c r="S51" s="6"/>
      <c r="T51" s="6"/>
      <c r="U51" s="6"/>
      <c r="V51" s="6"/>
      <c r="W51" s="6"/>
      <c r="X51" s="6"/>
      <c r="Y51" s="6"/>
      <c r="Z51" s="6"/>
      <c r="AA51" s="6"/>
      <c r="AB51" s="6"/>
    </row>
    <row r="52" spans="1:28" x14ac:dyDescent="0.2">
      <c r="D52" s="6"/>
      <c r="E52" s="6"/>
      <c r="F52" s="6"/>
      <c r="G52" s="6"/>
      <c r="H52" s="6"/>
      <c r="I52" s="6"/>
      <c r="J52" s="6"/>
      <c r="K52" s="6"/>
      <c r="L52" s="6"/>
      <c r="M52" s="6"/>
      <c r="N52" s="6"/>
      <c r="O52" s="6"/>
      <c r="P52" s="6"/>
      <c r="Q52" s="6"/>
      <c r="R52" s="6"/>
      <c r="S52" s="6"/>
      <c r="T52" s="6"/>
      <c r="U52" s="6"/>
      <c r="V52" s="6"/>
      <c r="W52" s="6"/>
      <c r="X52" s="6"/>
      <c r="Y52" s="6"/>
      <c r="Z52" s="6"/>
      <c r="AA52" s="6"/>
      <c r="AB52" s="6"/>
    </row>
    <row r="53" spans="1:28" x14ac:dyDescent="0.2">
      <c r="D53" s="6"/>
      <c r="E53" s="6"/>
      <c r="F53" s="6"/>
      <c r="G53" s="6"/>
      <c r="H53" s="6"/>
      <c r="I53" s="6"/>
      <c r="J53" s="6"/>
      <c r="K53" s="6"/>
      <c r="L53" s="6"/>
      <c r="M53" s="6"/>
      <c r="N53" s="6"/>
      <c r="O53" s="6"/>
      <c r="P53" s="6"/>
      <c r="Q53" s="6"/>
      <c r="R53" s="6"/>
      <c r="S53" s="6"/>
      <c r="T53" s="6"/>
      <c r="U53" s="6"/>
      <c r="V53" s="6"/>
      <c r="W53" s="6"/>
      <c r="X53" s="6"/>
    </row>
  </sheetData>
  <conditionalFormatting sqref="E6:X6">
    <cfRule type="colorScale" priority="28">
      <colorScale>
        <cfvo type="min"/>
        <cfvo type="percentile" val="50"/>
        <cfvo type="max"/>
        <color rgb="FFF8696B"/>
        <color rgb="FFFCFCFF"/>
        <color rgb="FF63BE7B"/>
      </colorScale>
    </cfRule>
  </conditionalFormatting>
  <conditionalFormatting sqref="E7:X7">
    <cfRule type="colorScale" priority="27">
      <colorScale>
        <cfvo type="min"/>
        <cfvo type="percentile" val="50"/>
        <cfvo type="max"/>
        <color rgb="FFF8696B"/>
        <color rgb="FFFCFCFF"/>
        <color rgb="FF63BE7B"/>
      </colorScale>
    </cfRule>
  </conditionalFormatting>
  <conditionalFormatting sqref="E8:X8">
    <cfRule type="colorScale" priority="25">
      <colorScale>
        <cfvo type="min"/>
        <cfvo type="percentile" val="50"/>
        <cfvo type="max"/>
        <color rgb="FFF8696B"/>
        <color rgb="FFFCFCFF"/>
        <color rgb="FF63BE7B"/>
      </colorScale>
    </cfRule>
  </conditionalFormatting>
  <conditionalFormatting sqref="E9:X9">
    <cfRule type="colorScale" priority="24">
      <colorScale>
        <cfvo type="min"/>
        <cfvo type="percentile" val="50"/>
        <cfvo type="max"/>
        <color rgb="FFF8696B"/>
        <color rgb="FFFCFCFF"/>
        <color rgb="FF63BE7B"/>
      </colorScale>
    </cfRule>
  </conditionalFormatting>
  <conditionalFormatting sqref="E10:X10">
    <cfRule type="colorScale" priority="23">
      <colorScale>
        <cfvo type="min"/>
        <cfvo type="percentile" val="50"/>
        <cfvo type="max"/>
        <color rgb="FFF8696B"/>
        <color rgb="FFFCFCFF"/>
        <color rgb="FF63BE7B"/>
      </colorScale>
    </cfRule>
  </conditionalFormatting>
  <conditionalFormatting sqref="E11:X11">
    <cfRule type="colorScale" priority="22">
      <colorScale>
        <cfvo type="min"/>
        <cfvo type="percentile" val="50"/>
        <cfvo type="max"/>
        <color rgb="FFF8696B"/>
        <color rgb="FFFCFCFF"/>
        <color rgb="FF63BE7B"/>
      </colorScale>
    </cfRule>
  </conditionalFormatting>
  <conditionalFormatting sqref="E12:X12">
    <cfRule type="colorScale" priority="21">
      <colorScale>
        <cfvo type="min"/>
        <cfvo type="percentile" val="50"/>
        <cfvo type="max"/>
        <color rgb="FFF8696B"/>
        <color rgb="FFFCFCFF"/>
        <color rgb="FF63BE7B"/>
      </colorScale>
    </cfRule>
  </conditionalFormatting>
  <conditionalFormatting sqref="E13:X13">
    <cfRule type="colorScale" priority="20">
      <colorScale>
        <cfvo type="min"/>
        <cfvo type="percentile" val="50"/>
        <cfvo type="max"/>
        <color rgb="FFF8696B"/>
        <color rgb="FFFCFCFF"/>
        <color rgb="FF63BE7B"/>
      </colorScale>
    </cfRule>
  </conditionalFormatting>
  <conditionalFormatting sqref="E14:X14">
    <cfRule type="colorScale" priority="19">
      <colorScale>
        <cfvo type="min"/>
        <cfvo type="percentile" val="50"/>
        <cfvo type="max"/>
        <color rgb="FFF8696B"/>
        <color rgb="FFFCFCFF"/>
        <color rgb="FF63BE7B"/>
      </colorScale>
    </cfRule>
  </conditionalFormatting>
  <conditionalFormatting sqref="E15:X15">
    <cfRule type="colorScale" priority="18">
      <colorScale>
        <cfvo type="min"/>
        <cfvo type="percentile" val="50"/>
        <cfvo type="max"/>
        <color rgb="FFF8696B"/>
        <color rgb="FFFCFCFF"/>
        <color rgb="FF63BE7B"/>
      </colorScale>
    </cfRule>
  </conditionalFormatting>
  <conditionalFormatting sqref="E18:X18">
    <cfRule type="colorScale" priority="17">
      <colorScale>
        <cfvo type="min"/>
        <cfvo type="percentile" val="50"/>
        <cfvo type="max"/>
        <color rgb="FFF8696B"/>
        <color rgb="FFFCFCFF"/>
        <color rgb="FF63BE7B"/>
      </colorScale>
    </cfRule>
  </conditionalFormatting>
  <conditionalFormatting sqref="E19:X19">
    <cfRule type="colorScale" priority="16">
      <colorScale>
        <cfvo type="min"/>
        <cfvo type="percentile" val="50"/>
        <cfvo type="max"/>
        <color rgb="FF63BE7B"/>
        <color rgb="FFFCFCFF"/>
        <color rgb="FFF8696B"/>
      </colorScale>
    </cfRule>
  </conditionalFormatting>
  <conditionalFormatting sqref="E20:X20">
    <cfRule type="colorScale" priority="15">
      <colorScale>
        <cfvo type="min"/>
        <cfvo type="percentile" val="50"/>
        <cfvo type="max"/>
        <color rgb="FFF8696B"/>
        <color rgb="FFFCFCFF"/>
        <color rgb="FF63BE7B"/>
      </colorScale>
    </cfRule>
  </conditionalFormatting>
  <conditionalFormatting sqref="E21:X21">
    <cfRule type="colorScale" priority="14">
      <colorScale>
        <cfvo type="min"/>
        <cfvo type="percentile" val="50"/>
        <cfvo type="max"/>
        <color rgb="FFF8696B"/>
        <color rgb="FFFCFCFF"/>
        <color rgb="FF63BE7B"/>
      </colorScale>
    </cfRule>
  </conditionalFormatting>
  <conditionalFormatting sqref="E22:X23">
    <cfRule type="colorScale" priority="13">
      <colorScale>
        <cfvo type="min"/>
        <cfvo type="percentile" val="50"/>
        <cfvo type="max"/>
        <color rgb="FFF8696B"/>
        <color rgb="FFFCFCFF"/>
        <color rgb="FF63BE7B"/>
      </colorScale>
    </cfRule>
  </conditionalFormatting>
  <conditionalFormatting sqref="E25:X25">
    <cfRule type="colorScale" priority="12">
      <colorScale>
        <cfvo type="min"/>
        <cfvo type="percentile" val="50"/>
        <cfvo type="max"/>
        <color rgb="FFF8696B"/>
        <color rgb="FFFCFCFF"/>
        <color rgb="FF63BE7B"/>
      </colorScale>
    </cfRule>
  </conditionalFormatting>
  <conditionalFormatting sqref="E26:X26">
    <cfRule type="colorScale" priority="11">
      <colorScale>
        <cfvo type="min"/>
        <cfvo type="percentile" val="50"/>
        <cfvo type="max"/>
        <color rgb="FFF8696B"/>
        <color rgb="FFFCFCFF"/>
        <color rgb="FF63BE7B"/>
      </colorScale>
    </cfRule>
  </conditionalFormatting>
  <conditionalFormatting sqref="E28:X28">
    <cfRule type="colorScale" priority="10">
      <colorScale>
        <cfvo type="min"/>
        <cfvo type="percentile" val="50"/>
        <cfvo type="max"/>
        <color rgb="FFF8696B"/>
        <color rgb="FFFCFCFF"/>
        <color rgb="FF63BE7B"/>
      </colorScale>
    </cfRule>
  </conditionalFormatting>
  <conditionalFormatting sqref="E29:X29">
    <cfRule type="colorScale" priority="9">
      <colorScale>
        <cfvo type="min"/>
        <cfvo type="percentile" val="50"/>
        <cfvo type="max"/>
        <color rgb="FFF8696B"/>
        <color rgb="FFFCFCFF"/>
        <color rgb="FF63BE7B"/>
      </colorScale>
    </cfRule>
  </conditionalFormatting>
  <conditionalFormatting sqref="E30:X30">
    <cfRule type="colorScale" priority="8">
      <colorScale>
        <cfvo type="min"/>
        <cfvo type="percentile" val="50"/>
        <cfvo type="max"/>
        <color rgb="FFF8696B"/>
        <color rgb="FFFCFCFF"/>
        <color rgb="FF63BE7B"/>
      </colorScale>
    </cfRule>
  </conditionalFormatting>
  <conditionalFormatting sqref="E32:X32">
    <cfRule type="colorScale" priority="7">
      <colorScale>
        <cfvo type="min"/>
        <cfvo type="percentile" val="50"/>
        <cfvo type="max"/>
        <color rgb="FFF8696B"/>
        <color rgb="FFFCFCFF"/>
        <color rgb="FF63BE7B"/>
      </colorScale>
    </cfRule>
  </conditionalFormatting>
  <conditionalFormatting sqref="E33:X33">
    <cfRule type="colorScale" priority="6">
      <colorScale>
        <cfvo type="min"/>
        <cfvo type="percentile" val="50"/>
        <cfvo type="max"/>
        <color rgb="FFF8696B"/>
        <color rgb="FFFCFCFF"/>
        <color rgb="FF63BE7B"/>
      </colorScale>
    </cfRule>
  </conditionalFormatting>
  <conditionalFormatting sqref="E34:X34">
    <cfRule type="colorScale" priority="5">
      <colorScale>
        <cfvo type="min"/>
        <cfvo type="percentile" val="50"/>
        <cfvo type="max"/>
        <color rgb="FFF8696B"/>
        <color rgb="FFFCFCFF"/>
        <color rgb="FF63BE7B"/>
      </colorScale>
    </cfRule>
  </conditionalFormatting>
  <conditionalFormatting sqref="E35:X36">
    <cfRule type="colorScale" priority="4">
      <colorScale>
        <cfvo type="min"/>
        <cfvo type="percentile" val="50"/>
        <cfvo type="max"/>
        <color rgb="FFF8696B"/>
        <color rgb="FFFCFCFF"/>
        <color rgb="FF63BE7B"/>
      </colorScale>
    </cfRule>
  </conditionalFormatting>
  <conditionalFormatting sqref="E23:X23">
    <cfRule type="colorScale" priority="3">
      <colorScale>
        <cfvo type="min"/>
        <cfvo type="percentile" val="50"/>
        <cfvo type="max"/>
        <color rgb="FFF8696B"/>
        <color rgb="FFFCFCFF"/>
        <color rgb="FF63BE7B"/>
      </colorScale>
    </cfRule>
  </conditionalFormatting>
  <conditionalFormatting sqref="E22:X22">
    <cfRule type="colorScale" priority="2">
      <colorScale>
        <cfvo type="min"/>
        <cfvo type="percentile" val="50"/>
        <cfvo type="max"/>
        <color rgb="FFF8696B"/>
        <color rgb="FFFCFCFF"/>
        <color rgb="FF63BE7B"/>
      </colorScale>
    </cfRule>
  </conditionalFormatting>
  <conditionalFormatting sqref="E16:X16">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ABA1A-F04C-7C48-A8DC-4A89ED4044A4}">
  <sheetPr codeName="Sheet5">
    <tabColor theme="2" tint="-0.249977111117893"/>
  </sheetPr>
  <dimension ref="A5:N125"/>
  <sheetViews>
    <sheetView topLeftCell="A39" zoomScale="117" workbookViewId="0">
      <selection activeCell="B55" sqref="B55"/>
    </sheetView>
  </sheetViews>
  <sheetFormatPr baseColWidth="10" defaultRowHeight="16" x14ac:dyDescent="0.2"/>
  <cols>
    <col min="1" max="1" width="26" bestFit="1" customWidth="1"/>
    <col min="2" max="2" width="9.6640625" bestFit="1" customWidth="1"/>
    <col min="4" max="5" width="13" bestFit="1" customWidth="1"/>
    <col min="6" max="7" width="13.5" bestFit="1" customWidth="1"/>
    <col min="8" max="8" width="8.33203125" bestFit="1" customWidth="1"/>
    <col min="9" max="9" width="9.5" bestFit="1" customWidth="1"/>
    <col min="10" max="10" width="7.83203125" bestFit="1" customWidth="1"/>
    <col min="11" max="11" width="8.1640625" bestFit="1" customWidth="1"/>
    <col min="12" max="14" width="7.83203125" bestFit="1" customWidth="1"/>
    <col min="15" max="15" width="8.1640625" bestFit="1" customWidth="1"/>
    <col min="16" max="17" width="8.5" bestFit="1" customWidth="1"/>
    <col min="18" max="18" width="7.83203125" bestFit="1" customWidth="1"/>
  </cols>
  <sheetData>
    <row r="5" spans="1:10" ht="17" x14ac:dyDescent="0.2">
      <c r="A5" s="12" t="s">
        <v>45</v>
      </c>
      <c r="B5" s="3" t="s">
        <v>559</v>
      </c>
      <c r="D5" s="1" t="s">
        <v>73</v>
      </c>
      <c r="E5" s="1" t="s">
        <v>74</v>
      </c>
      <c r="F5" s="1" t="s">
        <v>75</v>
      </c>
      <c r="G5" s="1" t="s">
        <v>76</v>
      </c>
      <c r="H5" s="1" t="s">
        <v>77</v>
      </c>
    </row>
    <row r="6" spans="1:10" x14ac:dyDescent="0.2">
      <c r="A6" s="3" t="s">
        <v>9</v>
      </c>
      <c r="B6" s="3" t="s">
        <v>560</v>
      </c>
      <c r="D6" s="3" t="s">
        <v>78</v>
      </c>
      <c r="E6" s="18">
        <v>100</v>
      </c>
      <c r="F6" s="17">
        <v>211.14</v>
      </c>
      <c r="G6" s="18">
        <v>215</v>
      </c>
      <c r="H6" s="18">
        <v>320</v>
      </c>
    </row>
    <row r="7" spans="1:10" x14ac:dyDescent="0.2">
      <c r="D7" s="3" t="s">
        <v>79</v>
      </c>
      <c r="E7" s="5">
        <v>-0.46310000000000001</v>
      </c>
      <c r="F7" s="5">
        <v>0.1336</v>
      </c>
      <c r="G7" s="5">
        <v>0.15429999999999999</v>
      </c>
      <c r="H7" s="5">
        <v>0.71799999999999997</v>
      </c>
    </row>
    <row r="8" spans="1:10" x14ac:dyDescent="0.2">
      <c r="A8" s="3" t="s">
        <v>401</v>
      </c>
      <c r="B8" s="16">
        <v>45980</v>
      </c>
    </row>
    <row r="9" spans="1:10" x14ac:dyDescent="0.2">
      <c r="A9" s="3" t="s">
        <v>402</v>
      </c>
      <c r="B9" s="16">
        <v>45911</v>
      </c>
      <c r="D9" s="1" t="s">
        <v>80</v>
      </c>
      <c r="E9" s="1" t="s">
        <v>475</v>
      </c>
      <c r="F9" s="1" t="s">
        <v>476</v>
      </c>
      <c r="G9" s="1" t="s">
        <v>477</v>
      </c>
      <c r="H9" s="1" t="s">
        <v>490</v>
      </c>
      <c r="I9" s="1" t="s">
        <v>491</v>
      </c>
      <c r="J9" s="1" t="s">
        <v>519</v>
      </c>
    </row>
    <row r="10" spans="1:10" x14ac:dyDescent="0.2">
      <c r="D10" s="3" t="s">
        <v>70</v>
      </c>
      <c r="E10" s="3">
        <v>23</v>
      </c>
      <c r="F10" s="3">
        <v>22</v>
      </c>
      <c r="G10" s="3">
        <v>24</v>
      </c>
      <c r="H10" s="3">
        <v>23</v>
      </c>
      <c r="I10" s="3">
        <v>23</v>
      </c>
      <c r="J10" s="3">
        <v>23</v>
      </c>
    </row>
    <row r="11" spans="1:10" x14ac:dyDescent="0.2">
      <c r="A11" s="3" t="s">
        <v>403</v>
      </c>
      <c r="B11" s="3" t="s">
        <v>561</v>
      </c>
      <c r="D11" s="3" t="s">
        <v>69</v>
      </c>
      <c r="E11" s="3">
        <v>18</v>
      </c>
      <c r="F11" s="3">
        <v>18</v>
      </c>
      <c r="G11" s="3">
        <v>18</v>
      </c>
      <c r="H11" s="3">
        <v>18</v>
      </c>
      <c r="I11" s="3">
        <v>17</v>
      </c>
      <c r="J11" s="3">
        <v>17</v>
      </c>
    </row>
    <row r="12" spans="1:10" x14ac:dyDescent="0.2">
      <c r="A12" s="3" t="s">
        <v>404</v>
      </c>
      <c r="B12" s="3" t="s">
        <v>561</v>
      </c>
      <c r="D12" s="3" t="s">
        <v>72</v>
      </c>
      <c r="E12" s="3">
        <v>2</v>
      </c>
      <c r="F12" s="3">
        <v>2</v>
      </c>
      <c r="G12" s="3">
        <v>2</v>
      </c>
      <c r="H12" s="3">
        <v>2</v>
      </c>
      <c r="I12" s="3">
        <v>1</v>
      </c>
      <c r="J12" s="3">
        <v>1</v>
      </c>
    </row>
    <row r="13" spans="1:10" x14ac:dyDescent="0.2">
      <c r="A13" s="3" t="s">
        <v>190</v>
      </c>
      <c r="B13" s="5">
        <v>-9.9000000000000008E-3</v>
      </c>
      <c r="D13" s="3" t="s">
        <v>71</v>
      </c>
      <c r="E13" s="3">
        <v>0</v>
      </c>
      <c r="F13" s="3">
        <v>0</v>
      </c>
      <c r="G13" s="3">
        <v>0</v>
      </c>
      <c r="H13" s="3">
        <v>0</v>
      </c>
      <c r="I13" s="3">
        <v>0</v>
      </c>
      <c r="J13" s="3">
        <v>0</v>
      </c>
    </row>
    <row r="14" spans="1:10" x14ac:dyDescent="0.2">
      <c r="A14" s="3" t="s">
        <v>405</v>
      </c>
      <c r="B14" s="5">
        <v>-3.2000000000000002E-3</v>
      </c>
      <c r="D14" s="3" t="s">
        <v>81</v>
      </c>
      <c r="E14" s="3">
        <v>1</v>
      </c>
      <c r="F14" s="3">
        <v>1</v>
      </c>
      <c r="G14" s="3">
        <v>1</v>
      </c>
      <c r="H14" s="3">
        <v>1</v>
      </c>
      <c r="I14" s="3">
        <v>1</v>
      </c>
      <c r="J14" s="3">
        <v>1</v>
      </c>
    </row>
    <row r="15" spans="1:10" x14ac:dyDescent="0.2">
      <c r="A15" s="3" t="s">
        <v>406</v>
      </c>
      <c r="B15" s="5">
        <v>3.8899999999999997E-2</v>
      </c>
      <c r="D15" s="3" t="s">
        <v>82</v>
      </c>
      <c r="E15" s="3">
        <v>44</v>
      </c>
      <c r="F15" s="3">
        <v>43</v>
      </c>
      <c r="G15" s="3">
        <v>45</v>
      </c>
      <c r="H15" s="3">
        <v>44</v>
      </c>
      <c r="I15" s="3">
        <v>42</v>
      </c>
      <c r="J15" s="3">
        <v>42</v>
      </c>
    </row>
    <row r="16" spans="1:10" x14ac:dyDescent="0.2">
      <c r="A16" s="3" t="s">
        <v>407</v>
      </c>
      <c r="B16" s="5">
        <v>0.68100000000000005</v>
      </c>
    </row>
    <row r="17" spans="1:11" x14ac:dyDescent="0.2">
      <c r="A17" s="3" t="s">
        <v>408</v>
      </c>
      <c r="B17" s="3" t="s">
        <v>562</v>
      </c>
      <c r="D17" s="1" t="s">
        <v>83</v>
      </c>
      <c r="E17" s="1" t="s">
        <v>84</v>
      </c>
      <c r="F17" s="1" t="s">
        <v>80</v>
      </c>
      <c r="G17" s="1" t="s">
        <v>80</v>
      </c>
      <c r="H17" s="1" t="s">
        <v>85</v>
      </c>
      <c r="I17" s="1" t="s">
        <v>57</v>
      </c>
      <c r="J17" s="1" t="s">
        <v>86</v>
      </c>
      <c r="K17" s="1" t="s">
        <v>87</v>
      </c>
    </row>
    <row r="18" spans="1:11" ht="17" x14ac:dyDescent="0.2">
      <c r="D18" s="12" t="s">
        <v>583</v>
      </c>
      <c r="E18" s="85" t="s">
        <v>584</v>
      </c>
      <c r="F18" s="3" t="s">
        <v>585</v>
      </c>
      <c r="G18" s="85" t="s">
        <v>585</v>
      </c>
      <c r="H18" s="85" t="s">
        <v>586</v>
      </c>
      <c r="I18" s="85" t="s">
        <v>587</v>
      </c>
      <c r="J18" s="86">
        <v>0.71799999999999997</v>
      </c>
      <c r="K18" s="84">
        <v>45945</v>
      </c>
    </row>
    <row r="19" spans="1:11" x14ac:dyDescent="0.2">
      <c r="A19" s="3" t="s">
        <v>19</v>
      </c>
      <c r="B19" s="3">
        <v>53.06</v>
      </c>
      <c r="D19" s="3" t="s">
        <v>584</v>
      </c>
      <c r="E19" s="85"/>
      <c r="F19" s="3" t="s">
        <v>586</v>
      </c>
      <c r="G19" s="85"/>
      <c r="H19" s="85"/>
      <c r="I19" s="85"/>
      <c r="J19" s="86"/>
      <c r="K19" s="84"/>
    </row>
    <row r="20" spans="1:11" x14ac:dyDescent="0.2">
      <c r="A20" s="3" t="s">
        <v>46</v>
      </c>
      <c r="B20" s="3">
        <v>32.64</v>
      </c>
      <c r="D20" s="2"/>
      <c r="E20" s="85"/>
      <c r="F20" s="3" t="s">
        <v>587</v>
      </c>
      <c r="G20" s="85"/>
      <c r="H20" s="85"/>
      <c r="I20" s="85"/>
      <c r="J20" s="86"/>
      <c r="K20" s="84"/>
    </row>
    <row r="21" spans="1:11" ht="17" x14ac:dyDescent="0.2">
      <c r="A21" s="3" t="s">
        <v>20</v>
      </c>
      <c r="B21" s="3">
        <v>27.57</v>
      </c>
      <c r="D21" s="12" t="s">
        <v>588</v>
      </c>
      <c r="E21" s="85" t="s">
        <v>589</v>
      </c>
      <c r="F21" s="3" t="s">
        <v>69</v>
      </c>
      <c r="G21" s="85" t="s">
        <v>69</v>
      </c>
      <c r="H21" s="85" t="s">
        <v>478</v>
      </c>
      <c r="I21" s="85" t="s">
        <v>590</v>
      </c>
      <c r="J21" s="86">
        <v>0.20799999999999999</v>
      </c>
      <c r="K21" s="84">
        <v>45943</v>
      </c>
    </row>
    <row r="22" spans="1:11" x14ac:dyDescent="0.2">
      <c r="A22" s="3" t="s">
        <v>47</v>
      </c>
      <c r="B22" s="3">
        <v>17.93</v>
      </c>
      <c r="D22" s="3" t="s">
        <v>589</v>
      </c>
      <c r="E22" s="85"/>
      <c r="F22" s="3" t="s">
        <v>478</v>
      </c>
      <c r="G22" s="85"/>
      <c r="H22" s="85"/>
      <c r="I22" s="85"/>
      <c r="J22" s="86"/>
      <c r="K22" s="84"/>
    </row>
    <row r="23" spans="1:11" x14ac:dyDescent="0.2">
      <c r="A23" s="3" t="s">
        <v>21</v>
      </c>
      <c r="B23" s="3">
        <v>45.29</v>
      </c>
      <c r="D23" s="2"/>
      <c r="E23" s="85"/>
      <c r="F23" s="3" t="s">
        <v>590</v>
      </c>
      <c r="G23" s="85"/>
      <c r="H23" s="85"/>
      <c r="I23" s="85"/>
      <c r="J23" s="86"/>
      <c r="K23" s="84"/>
    </row>
    <row r="24" spans="1:11" ht="17" x14ac:dyDescent="0.2">
      <c r="A24" s="3" t="s">
        <v>369</v>
      </c>
      <c r="B24" s="3">
        <v>48.35</v>
      </c>
      <c r="D24" s="12" t="s">
        <v>591</v>
      </c>
      <c r="E24" s="85" t="s">
        <v>592</v>
      </c>
      <c r="F24" s="3" t="s">
        <v>69</v>
      </c>
      <c r="G24" s="85" t="s">
        <v>69</v>
      </c>
      <c r="H24" s="85" t="s">
        <v>478</v>
      </c>
      <c r="I24" s="85" t="s">
        <v>593</v>
      </c>
      <c r="J24" s="86">
        <v>0.61070000000000002</v>
      </c>
      <c r="K24" s="84">
        <v>45939</v>
      </c>
    </row>
    <row r="25" spans="1:11" x14ac:dyDescent="0.2">
      <c r="A25" s="3" t="s">
        <v>22</v>
      </c>
      <c r="B25" s="3">
        <v>62.84</v>
      </c>
      <c r="D25" s="3" t="s">
        <v>592</v>
      </c>
      <c r="E25" s="85"/>
      <c r="F25" s="3" t="s">
        <v>478</v>
      </c>
      <c r="G25" s="85"/>
      <c r="H25" s="85"/>
      <c r="I25" s="85"/>
      <c r="J25" s="86"/>
      <c r="K25" s="84"/>
    </row>
    <row r="26" spans="1:11" x14ac:dyDescent="0.2">
      <c r="A26" s="3" t="s">
        <v>23</v>
      </c>
      <c r="B26" s="3">
        <v>58.75</v>
      </c>
      <c r="D26" s="2"/>
      <c r="E26" s="85"/>
      <c r="F26" s="3" t="s">
        <v>593</v>
      </c>
      <c r="G26" s="85"/>
      <c r="H26" s="85"/>
      <c r="I26" s="85"/>
      <c r="J26" s="86"/>
      <c r="K26" s="84"/>
    </row>
    <row r="27" spans="1:11" ht="17" x14ac:dyDescent="0.2">
      <c r="A27" s="3" t="s">
        <v>398</v>
      </c>
      <c r="B27" s="3">
        <v>0.91</v>
      </c>
      <c r="D27" s="12" t="s">
        <v>591</v>
      </c>
      <c r="E27" s="85" t="s">
        <v>592</v>
      </c>
      <c r="F27" s="3" t="s">
        <v>69</v>
      </c>
      <c r="G27" s="85" t="s">
        <v>69</v>
      </c>
      <c r="H27" s="85" t="s">
        <v>594</v>
      </c>
      <c r="I27" s="87">
        <v>240</v>
      </c>
      <c r="J27" s="86">
        <v>0.28849999999999998</v>
      </c>
      <c r="K27" s="84">
        <v>45933</v>
      </c>
    </row>
    <row r="28" spans="1:11" x14ac:dyDescent="0.2">
      <c r="D28" s="3" t="s">
        <v>592</v>
      </c>
      <c r="E28" s="85"/>
      <c r="F28" s="3" t="s">
        <v>594</v>
      </c>
      <c r="G28" s="85"/>
      <c r="H28" s="85"/>
      <c r="I28" s="87"/>
      <c r="J28" s="86"/>
      <c r="K28" s="84"/>
    </row>
    <row r="29" spans="1:11" x14ac:dyDescent="0.2">
      <c r="A29" s="3" t="s">
        <v>48</v>
      </c>
      <c r="B29" s="3">
        <v>51.73</v>
      </c>
      <c r="D29" s="2"/>
      <c r="E29" s="85"/>
      <c r="F29" s="18">
        <v>240</v>
      </c>
      <c r="G29" s="85"/>
      <c r="H29" s="85"/>
      <c r="I29" s="87"/>
      <c r="J29" s="86"/>
      <c r="K29" s="84"/>
    </row>
    <row r="30" spans="1:11" ht="17" x14ac:dyDescent="0.2">
      <c r="A30" s="3" t="s">
        <v>49</v>
      </c>
      <c r="B30" s="3">
        <v>27.12</v>
      </c>
      <c r="D30" s="12" t="s">
        <v>595</v>
      </c>
      <c r="E30" s="85" t="s">
        <v>596</v>
      </c>
      <c r="F30" s="3" t="s">
        <v>69</v>
      </c>
      <c r="G30" s="85" t="s">
        <v>69</v>
      </c>
      <c r="H30" s="85" t="s">
        <v>478</v>
      </c>
      <c r="I30" s="85" t="s">
        <v>597</v>
      </c>
      <c r="J30" s="86">
        <v>0.3422</v>
      </c>
      <c r="K30" s="84">
        <v>45930</v>
      </c>
    </row>
    <row r="31" spans="1:11" x14ac:dyDescent="0.2">
      <c r="A31" s="3" t="s">
        <v>50</v>
      </c>
      <c r="B31" s="3">
        <v>45.58</v>
      </c>
      <c r="D31" s="3" t="s">
        <v>596</v>
      </c>
      <c r="E31" s="85"/>
      <c r="F31" s="3" t="s">
        <v>478</v>
      </c>
      <c r="G31" s="85"/>
      <c r="H31" s="85"/>
      <c r="I31" s="85"/>
      <c r="J31" s="86"/>
      <c r="K31" s="84"/>
    </row>
    <row r="32" spans="1:11" x14ac:dyDescent="0.2">
      <c r="A32" s="3" t="s">
        <v>51</v>
      </c>
      <c r="B32" s="3">
        <v>46.68</v>
      </c>
      <c r="D32" s="2"/>
      <c r="E32" s="85"/>
      <c r="F32" s="3" t="s">
        <v>597</v>
      </c>
      <c r="G32" s="85"/>
      <c r="H32" s="85"/>
      <c r="I32" s="85"/>
      <c r="J32" s="86"/>
      <c r="K32" s="84"/>
    </row>
    <row r="33" spans="1:14" x14ac:dyDescent="0.2">
      <c r="A33" s="3" t="s">
        <v>52</v>
      </c>
      <c r="B33" s="3">
        <v>62.2</v>
      </c>
    </row>
    <row r="34" spans="1:14" x14ac:dyDescent="0.2">
      <c r="D34" s="1" t="s">
        <v>88</v>
      </c>
      <c r="E34" s="1" t="s">
        <v>89</v>
      </c>
      <c r="F34" s="1" t="s">
        <v>90</v>
      </c>
      <c r="G34" s="1" t="s">
        <v>91</v>
      </c>
      <c r="H34" s="1" t="s">
        <v>92</v>
      </c>
      <c r="I34" s="1" t="s">
        <v>374</v>
      </c>
      <c r="J34" s="1" t="s">
        <v>479</v>
      </c>
      <c r="K34" s="1" t="s">
        <v>480</v>
      </c>
      <c r="L34" s="1" t="s">
        <v>598</v>
      </c>
      <c r="M34" s="1" t="s">
        <v>599</v>
      </c>
      <c r="N34" s="1" t="s">
        <v>600</v>
      </c>
    </row>
    <row r="35" spans="1:14" x14ac:dyDescent="0.2">
      <c r="A35" s="3" t="s">
        <v>5</v>
      </c>
      <c r="B35" s="3">
        <v>4.21</v>
      </c>
      <c r="D35" s="1" t="s">
        <v>10</v>
      </c>
      <c r="E35" s="19">
        <v>44227</v>
      </c>
      <c r="F35" s="19">
        <v>44591</v>
      </c>
      <c r="G35" s="19">
        <v>44955</v>
      </c>
      <c r="H35" s="19">
        <v>45319</v>
      </c>
      <c r="I35" s="19">
        <v>45683</v>
      </c>
      <c r="J35" s="19">
        <v>46048</v>
      </c>
      <c r="K35" s="19">
        <v>46413</v>
      </c>
      <c r="L35" s="19">
        <v>46778</v>
      </c>
      <c r="M35" s="19">
        <v>47149</v>
      </c>
      <c r="N35" s="19">
        <v>47514</v>
      </c>
    </row>
    <row r="36" spans="1:14" x14ac:dyDescent="0.2">
      <c r="A36" s="3" t="s">
        <v>8</v>
      </c>
      <c r="B36" s="3">
        <v>3.49</v>
      </c>
      <c r="D36" s="3" t="s">
        <v>32</v>
      </c>
      <c r="E36" s="3" t="s">
        <v>601</v>
      </c>
      <c r="F36" s="3" t="s">
        <v>602</v>
      </c>
      <c r="G36" s="3" t="s">
        <v>603</v>
      </c>
      <c r="H36" s="3" t="s">
        <v>604</v>
      </c>
      <c r="I36" s="3" t="s">
        <v>605</v>
      </c>
      <c r="J36" s="3" t="s">
        <v>606</v>
      </c>
      <c r="K36" s="3" t="s">
        <v>607</v>
      </c>
      <c r="L36" s="3" t="s">
        <v>63</v>
      </c>
      <c r="M36" s="3" t="s">
        <v>63</v>
      </c>
      <c r="N36" s="3" t="s">
        <v>63</v>
      </c>
    </row>
    <row r="37" spans="1:14" x14ac:dyDescent="0.2">
      <c r="A37" s="3" t="s">
        <v>53</v>
      </c>
      <c r="B37" s="3">
        <v>0.11</v>
      </c>
      <c r="D37" s="3" t="s">
        <v>93</v>
      </c>
      <c r="E37" s="5">
        <v>0.52729999999999999</v>
      </c>
      <c r="F37" s="5">
        <v>0.61399999999999999</v>
      </c>
      <c r="G37" s="5">
        <v>2.2000000000000001E-3</v>
      </c>
      <c r="H37" s="5">
        <v>1.2585999999999999</v>
      </c>
      <c r="I37" s="5">
        <v>1.1419999999999999</v>
      </c>
      <c r="J37" s="5">
        <v>0.61339999999999995</v>
      </c>
      <c r="K37" s="5">
        <v>0.34889999999999999</v>
      </c>
      <c r="L37" s="3" t="s">
        <v>63</v>
      </c>
      <c r="M37" s="3" t="s">
        <v>63</v>
      </c>
      <c r="N37" s="3" t="s">
        <v>63</v>
      </c>
    </row>
    <row r="38" spans="1:14" x14ac:dyDescent="0.2">
      <c r="A38" s="3" t="s">
        <v>54</v>
      </c>
      <c r="B38" s="3">
        <v>0.11</v>
      </c>
      <c r="D38" s="3" t="s">
        <v>94</v>
      </c>
      <c r="E38" s="3">
        <v>0.17</v>
      </c>
      <c r="F38" s="3">
        <v>0.39</v>
      </c>
      <c r="G38" s="3">
        <v>0.17</v>
      </c>
      <c r="H38" s="3">
        <v>1.19</v>
      </c>
      <c r="I38" s="3">
        <v>2.94</v>
      </c>
      <c r="J38" s="3">
        <v>4.59</v>
      </c>
      <c r="K38" s="3">
        <v>6.59</v>
      </c>
      <c r="L38" s="3" t="s">
        <v>63</v>
      </c>
      <c r="M38" s="3" t="s">
        <v>63</v>
      </c>
      <c r="N38" s="3" t="s">
        <v>63</v>
      </c>
    </row>
    <row r="39" spans="1:14" x14ac:dyDescent="0.2">
      <c r="A39" s="3" t="s">
        <v>55</v>
      </c>
      <c r="B39" s="3">
        <v>0.15</v>
      </c>
      <c r="D39" s="3" t="s">
        <v>64</v>
      </c>
      <c r="E39" s="5">
        <v>0.53100000000000003</v>
      </c>
      <c r="F39" s="5">
        <v>1.2254</v>
      </c>
      <c r="G39" s="5">
        <v>-0.55840000000000001</v>
      </c>
      <c r="H39" s="5">
        <v>6</v>
      </c>
      <c r="I39" s="5">
        <v>1.4705999999999999</v>
      </c>
      <c r="J39" s="5">
        <v>0.56100000000000005</v>
      </c>
      <c r="K39" s="5">
        <v>0.43690000000000001</v>
      </c>
      <c r="L39" s="3" t="s">
        <v>63</v>
      </c>
      <c r="M39" s="3" t="s">
        <v>63</v>
      </c>
      <c r="N39" s="3" t="s">
        <v>63</v>
      </c>
    </row>
    <row r="40" spans="1:14" x14ac:dyDescent="0.2">
      <c r="A40" s="3" t="s">
        <v>56</v>
      </c>
      <c r="B40" s="3">
        <v>390.16</v>
      </c>
      <c r="D40" s="3" t="s">
        <v>46</v>
      </c>
      <c r="E40" s="3" t="s">
        <v>12</v>
      </c>
      <c r="F40" s="3" t="s">
        <v>12</v>
      </c>
      <c r="G40" s="3" t="s">
        <v>12</v>
      </c>
      <c r="H40" s="3" t="s">
        <v>12</v>
      </c>
      <c r="I40" s="3" t="s">
        <v>12</v>
      </c>
      <c r="J40" s="3">
        <v>40.58</v>
      </c>
      <c r="K40" s="3">
        <v>28.25</v>
      </c>
      <c r="L40" s="3" t="s">
        <v>63</v>
      </c>
      <c r="M40" s="3" t="s">
        <v>63</v>
      </c>
      <c r="N40" s="3" t="s">
        <v>63</v>
      </c>
    </row>
    <row r="41" spans="1:14" x14ac:dyDescent="0.2">
      <c r="D41" s="3" t="s">
        <v>95</v>
      </c>
      <c r="E41" s="3" t="s">
        <v>12</v>
      </c>
      <c r="F41" s="3" t="s">
        <v>12</v>
      </c>
      <c r="G41" s="3" t="s">
        <v>12</v>
      </c>
      <c r="H41" s="3" t="s">
        <v>12</v>
      </c>
      <c r="I41" s="3" t="s">
        <v>12</v>
      </c>
      <c r="J41" s="3">
        <v>68</v>
      </c>
      <c r="K41" s="3">
        <v>68</v>
      </c>
      <c r="L41" s="3" t="s">
        <v>63</v>
      </c>
      <c r="M41" s="3" t="s">
        <v>63</v>
      </c>
      <c r="N41" s="3" t="s">
        <v>63</v>
      </c>
    </row>
    <row r="42" spans="1:14" x14ac:dyDescent="0.2">
      <c r="A42" s="3" t="s">
        <v>26</v>
      </c>
      <c r="B42" s="5">
        <v>1.0942000000000001</v>
      </c>
    </row>
    <row r="43" spans="1:14" x14ac:dyDescent="0.2">
      <c r="A43" s="3" t="s">
        <v>27</v>
      </c>
      <c r="B43" s="5">
        <v>0.53090000000000004</v>
      </c>
      <c r="D43" s="1" t="s">
        <v>32</v>
      </c>
      <c r="E43" s="1">
        <v>2026</v>
      </c>
      <c r="F43" s="1">
        <v>2027</v>
      </c>
      <c r="G43" s="1">
        <v>2028</v>
      </c>
      <c r="H43" s="1">
        <v>2029</v>
      </c>
      <c r="I43" s="1">
        <v>2030</v>
      </c>
    </row>
    <row r="44" spans="1:14" x14ac:dyDescent="0.2">
      <c r="A44" s="3" t="s">
        <v>409</v>
      </c>
      <c r="B44" s="5">
        <v>0.67059999999999997</v>
      </c>
      <c r="D44" s="3" t="s">
        <v>77</v>
      </c>
      <c r="E44" s="3" t="s">
        <v>608</v>
      </c>
      <c r="F44" s="3" t="s">
        <v>609</v>
      </c>
      <c r="G44" s="3" t="s">
        <v>610</v>
      </c>
      <c r="H44" s="3" t="s">
        <v>610</v>
      </c>
      <c r="I44" s="3" t="s">
        <v>610</v>
      </c>
    </row>
    <row r="45" spans="1:14" x14ac:dyDescent="0.2">
      <c r="A45" s="3" t="s">
        <v>29</v>
      </c>
      <c r="B45" s="5">
        <v>0.82399999999999995</v>
      </c>
      <c r="D45" s="3" t="s">
        <v>96</v>
      </c>
      <c r="E45" s="3" t="s">
        <v>611</v>
      </c>
      <c r="F45" s="3" t="s">
        <v>612</v>
      </c>
      <c r="G45" s="3" t="s">
        <v>610</v>
      </c>
      <c r="H45" s="3" t="s">
        <v>610</v>
      </c>
      <c r="I45" s="3" t="s">
        <v>610</v>
      </c>
    </row>
    <row r="46" spans="1:14" x14ac:dyDescent="0.2">
      <c r="A46" s="3" t="s">
        <v>410</v>
      </c>
      <c r="B46" s="3" t="s">
        <v>563</v>
      </c>
      <c r="D46" s="3" t="s">
        <v>74</v>
      </c>
      <c r="E46" s="3" t="s">
        <v>613</v>
      </c>
      <c r="F46" s="3" t="s">
        <v>614</v>
      </c>
      <c r="G46" s="3" t="s">
        <v>610</v>
      </c>
      <c r="H46" s="3" t="s">
        <v>610</v>
      </c>
      <c r="I46" s="3" t="s">
        <v>610</v>
      </c>
    </row>
    <row r="47" spans="1:14" x14ac:dyDescent="0.2">
      <c r="A47" s="3" t="s">
        <v>411</v>
      </c>
      <c r="B47" s="3" t="s">
        <v>564</v>
      </c>
    </row>
    <row r="48" spans="1:14" ht="17" x14ac:dyDescent="0.2">
      <c r="A48" s="12" t="s">
        <v>370</v>
      </c>
      <c r="B48" s="4">
        <v>36000</v>
      </c>
      <c r="D48" s="1" t="s">
        <v>93</v>
      </c>
      <c r="E48" s="1">
        <v>2026</v>
      </c>
      <c r="F48" s="1">
        <v>2027</v>
      </c>
      <c r="G48" s="1">
        <v>2028</v>
      </c>
      <c r="H48" s="1">
        <v>2029</v>
      </c>
      <c r="I48" s="1">
        <v>2030</v>
      </c>
    </row>
    <row r="49" spans="1:9" x14ac:dyDescent="0.2">
      <c r="A49" s="3" t="s">
        <v>173</v>
      </c>
      <c r="B49" s="3">
        <v>1.46</v>
      </c>
      <c r="D49" s="3" t="s">
        <v>77</v>
      </c>
      <c r="E49" s="5">
        <v>0.81</v>
      </c>
      <c r="F49" s="5">
        <v>0.86499999999999999</v>
      </c>
      <c r="G49" s="3" t="s">
        <v>610</v>
      </c>
      <c r="H49" s="3" t="s">
        <v>610</v>
      </c>
      <c r="I49" s="3" t="s">
        <v>610</v>
      </c>
    </row>
    <row r="50" spans="1:9" x14ac:dyDescent="0.2">
      <c r="A50" s="3" t="s">
        <v>174</v>
      </c>
      <c r="B50" s="3">
        <v>4.5999999999999996</v>
      </c>
      <c r="D50" s="3" t="s">
        <v>96</v>
      </c>
      <c r="E50" s="5">
        <v>0.61299999999999999</v>
      </c>
      <c r="F50" s="5">
        <v>0.34899999999999998</v>
      </c>
      <c r="G50" s="3" t="s">
        <v>610</v>
      </c>
      <c r="H50" s="3" t="s">
        <v>610</v>
      </c>
      <c r="I50" s="3" t="s">
        <v>610</v>
      </c>
    </row>
    <row r="51" spans="1:9" x14ac:dyDescent="0.2">
      <c r="D51" s="3" t="s">
        <v>74</v>
      </c>
      <c r="E51" s="5">
        <v>0.45300000000000001</v>
      </c>
      <c r="F51" s="5">
        <v>0.153</v>
      </c>
      <c r="G51" s="3" t="s">
        <v>610</v>
      </c>
      <c r="H51" s="3" t="s">
        <v>610</v>
      </c>
      <c r="I51" s="3" t="s">
        <v>610</v>
      </c>
    </row>
    <row r="52" spans="1:9" x14ac:dyDescent="0.2">
      <c r="A52" s="3" t="s">
        <v>412</v>
      </c>
      <c r="B52" s="3" t="s">
        <v>565</v>
      </c>
    </row>
    <row r="53" spans="1:9" x14ac:dyDescent="0.2">
      <c r="A53" s="3" t="s">
        <v>118</v>
      </c>
      <c r="B53" s="5">
        <v>0.1396</v>
      </c>
      <c r="D53" s="1" t="s">
        <v>94</v>
      </c>
      <c r="E53" s="1">
        <v>2026</v>
      </c>
      <c r="F53" s="1">
        <v>2027</v>
      </c>
      <c r="G53" s="1">
        <v>2028</v>
      </c>
      <c r="H53" s="1">
        <v>2029</v>
      </c>
      <c r="I53" s="1">
        <v>2030</v>
      </c>
    </row>
    <row r="54" spans="1:9" x14ac:dyDescent="0.2">
      <c r="D54" s="3" t="s">
        <v>77</v>
      </c>
      <c r="E54" s="3">
        <v>5.25</v>
      </c>
      <c r="F54" s="3">
        <v>9.19</v>
      </c>
      <c r="G54" s="3" t="s">
        <v>610</v>
      </c>
      <c r="H54" s="3" t="s">
        <v>610</v>
      </c>
      <c r="I54" s="3" t="s">
        <v>610</v>
      </c>
    </row>
    <row r="55" spans="1:9" x14ac:dyDescent="0.2">
      <c r="A55" s="3" t="s">
        <v>413</v>
      </c>
      <c r="B55" s="3">
        <v>2.12</v>
      </c>
      <c r="D55" s="3" t="s">
        <v>96</v>
      </c>
      <c r="E55" s="3">
        <v>4.59</v>
      </c>
      <c r="F55" s="3">
        <v>6.59</v>
      </c>
      <c r="G55" s="3" t="s">
        <v>610</v>
      </c>
      <c r="H55" s="3" t="s">
        <v>610</v>
      </c>
      <c r="I55" s="3" t="s">
        <v>610</v>
      </c>
    </row>
    <row r="56" spans="1:9" x14ac:dyDescent="0.2">
      <c r="A56" s="3" t="s">
        <v>414</v>
      </c>
      <c r="B56" s="5">
        <v>0.33460000000000001</v>
      </c>
      <c r="D56" s="3" t="s">
        <v>74</v>
      </c>
      <c r="E56" s="3">
        <v>4.0599999999999996</v>
      </c>
      <c r="F56" s="3">
        <v>5.44</v>
      </c>
      <c r="G56" s="3" t="s">
        <v>610</v>
      </c>
      <c r="H56" s="3" t="s">
        <v>610</v>
      </c>
      <c r="I56" s="3" t="s">
        <v>610</v>
      </c>
    </row>
    <row r="57" spans="1:9" x14ac:dyDescent="0.2">
      <c r="A57" s="3" t="s">
        <v>415</v>
      </c>
      <c r="B57" s="3">
        <v>179.59</v>
      </c>
    </row>
    <row r="58" spans="1:9" x14ac:dyDescent="0.2">
      <c r="A58" s="3" t="s">
        <v>416</v>
      </c>
      <c r="B58" s="3">
        <v>146.58000000000001</v>
      </c>
      <c r="D58" s="1" t="s">
        <v>64</v>
      </c>
      <c r="E58" s="1">
        <v>2026</v>
      </c>
      <c r="F58" s="1">
        <v>2027</v>
      </c>
      <c r="G58" s="1">
        <v>2028</v>
      </c>
      <c r="H58" s="1">
        <v>2029</v>
      </c>
      <c r="I58" s="1">
        <v>2030</v>
      </c>
    </row>
    <row r="59" spans="1:9" x14ac:dyDescent="0.2">
      <c r="A59" s="3" t="s">
        <v>417</v>
      </c>
      <c r="B59" s="3">
        <v>55.84</v>
      </c>
      <c r="D59" s="3" t="s">
        <v>77</v>
      </c>
      <c r="E59" s="5">
        <v>0.78600000000000003</v>
      </c>
      <c r="F59" s="5">
        <v>1.002</v>
      </c>
      <c r="G59" s="3" t="s">
        <v>610</v>
      </c>
      <c r="H59" s="3" t="s">
        <v>610</v>
      </c>
      <c r="I59" s="3" t="s">
        <v>610</v>
      </c>
    </row>
    <row r="60" spans="1:9" x14ac:dyDescent="0.2">
      <c r="A60" s="3" t="s">
        <v>418</v>
      </c>
      <c r="B60" s="4">
        <v>167060928</v>
      </c>
      <c r="D60" s="3" t="s">
        <v>96</v>
      </c>
      <c r="E60" s="5">
        <v>0.56100000000000005</v>
      </c>
      <c r="F60" s="5">
        <v>0.437</v>
      </c>
      <c r="G60" s="3" t="s">
        <v>610</v>
      </c>
      <c r="H60" s="3" t="s">
        <v>610</v>
      </c>
      <c r="I60" s="3" t="s">
        <v>610</v>
      </c>
    </row>
    <row r="61" spans="1:9" x14ac:dyDescent="0.2">
      <c r="D61" s="3" t="s">
        <v>74</v>
      </c>
      <c r="E61" s="5">
        <v>0.38</v>
      </c>
      <c r="F61" s="5">
        <v>0.185</v>
      </c>
      <c r="G61" s="3" t="s">
        <v>610</v>
      </c>
      <c r="H61" s="3" t="s">
        <v>610</v>
      </c>
      <c r="I61" s="3" t="s">
        <v>610</v>
      </c>
    </row>
    <row r="62" spans="1:9" x14ac:dyDescent="0.2">
      <c r="A62" s="3" t="s">
        <v>419</v>
      </c>
      <c r="B62" s="3" t="s">
        <v>566</v>
      </c>
    </row>
    <row r="63" spans="1:9" x14ac:dyDescent="0.2">
      <c r="A63" s="3" t="s">
        <v>420</v>
      </c>
      <c r="B63" s="3" t="s">
        <v>567</v>
      </c>
    </row>
    <row r="64" spans="1:9" x14ac:dyDescent="0.2">
      <c r="A64" s="3" t="s">
        <v>421</v>
      </c>
      <c r="B64" s="5">
        <v>8.6999999999999994E-3</v>
      </c>
    </row>
    <row r="65" spans="1:2" x14ac:dyDescent="0.2">
      <c r="A65" s="3" t="s">
        <v>422</v>
      </c>
      <c r="B65" s="5">
        <v>8.9999999999999993E-3</v>
      </c>
    </row>
    <row r="66" spans="1:2" x14ac:dyDescent="0.2">
      <c r="A66" s="3" t="s">
        <v>423</v>
      </c>
      <c r="B66" s="3">
        <v>1.1499999999999999</v>
      </c>
    </row>
    <row r="68" spans="1:2" ht="17" x14ac:dyDescent="0.2">
      <c r="A68" s="12" t="s">
        <v>32</v>
      </c>
      <c r="B68" s="3" t="s">
        <v>568</v>
      </c>
    </row>
    <row r="69" spans="1:2" x14ac:dyDescent="0.2">
      <c r="A69" s="3" t="s">
        <v>1</v>
      </c>
      <c r="B69" s="3" t="s">
        <v>569</v>
      </c>
    </row>
    <row r="70" spans="1:2" x14ac:dyDescent="0.2">
      <c r="A70" s="3" t="s">
        <v>106</v>
      </c>
      <c r="B70" s="3" t="s">
        <v>570</v>
      </c>
    </row>
    <row r="71" spans="1:2" x14ac:dyDescent="0.2">
      <c r="A71" s="3" t="s">
        <v>109</v>
      </c>
      <c r="B71" s="3" t="s">
        <v>571</v>
      </c>
    </row>
    <row r="72" spans="1:2" x14ac:dyDescent="0.2">
      <c r="A72" s="3" t="s">
        <v>17</v>
      </c>
      <c r="B72" s="3" t="s">
        <v>572</v>
      </c>
    </row>
    <row r="73" spans="1:2" x14ac:dyDescent="0.2">
      <c r="A73" s="3" t="s">
        <v>2</v>
      </c>
      <c r="B73" s="3" t="s">
        <v>573</v>
      </c>
    </row>
    <row r="74" spans="1:2" x14ac:dyDescent="0.2">
      <c r="A74" s="3" t="s">
        <v>3</v>
      </c>
      <c r="B74" s="3" t="s">
        <v>570</v>
      </c>
    </row>
    <row r="75" spans="1:2" x14ac:dyDescent="0.2">
      <c r="A75" s="3" t="s">
        <v>232</v>
      </c>
      <c r="B75" s="17">
        <v>3.51</v>
      </c>
    </row>
    <row r="77" spans="1:2" x14ac:dyDescent="0.2">
      <c r="A77" s="3" t="s">
        <v>424</v>
      </c>
      <c r="B77" s="3" t="s">
        <v>574</v>
      </c>
    </row>
    <row r="78" spans="1:2" x14ac:dyDescent="0.2">
      <c r="A78" s="3" t="s">
        <v>7</v>
      </c>
      <c r="B78" s="3" t="s">
        <v>575</v>
      </c>
    </row>
    <row r="79" spans="1:2" x14ac:dyDescent="0.2">
      <c r="A79" s="3" t="s">
        <v>425</v>
      </c>
      <c r="B79" s="3" t="s">
        <v>576</v>
      </c>
    </row>
    <row r="80" spans="1:2" x14ac:dyDescent="0.2">
      <c r="A80" s="3" t="s">
        <v>140</v>
      </c>
      <c r="B80" s="17">
        <v>1.9</v>
      </c>
    </row>
    <row r="81" spans="1:2" x14ac:dyDescent="0.2">
      <c r="A81" s="3" t="s">
        <v>426</v>
      </c>
      <c r="B81" s="3" t="s">
        <v>577</v>
      </c>
    </row>
    <row r="82" spans="1:2" x14ac:dyDescent="0.2">
      <c r="A82" s="3" t="s">
        <v>16</v>
      </c>
      <c r="B82" s="3">
        <v>4.1100000000000003</v>
      </c>
    </row>
    <row r="83" spans="1:2" x14ac:dyDescent="0.2">
      <c r="A83" s="3" t="s">
        <v>143</v>
      </c>
      <c r="B83" s="3" t="s">
        <v>578</v>
      </c>
    </row>
    <row r="85" spans="1:2" x14ac:dyDescent="0.2">
      <c r="A85" s="3" t="s">
        <v>153</v>
      </c>
      <c r="B85" s="3" t="s">
        <v>579</v>
      </c>
    </row>
    <row r="86" spans="1:2" x14ac:dyDescent="0.2">
      <c r="A86" s="3" t="s">
        <v>154</v>
      </c>
      <c r="B86" s="3" t="s">
        <v>580</v>
      </c>
    </row>
    <row r="87" spans="1:2" x14ac:dyDescent="0.2">
      <c r="A87" s="3" t="s">
        <v>6</v>
      </c>
      <c r="B87" s="3" t="s">
        <v>581</v>
      </c>
    </row>
    <row r="88" spans="1:2" x14ac:dyDescent="0.2">
      <c r="A88" s="3" t="s">
        <v>427</v>
      </c>
      <c r="B88" s="17">
        <v>2.96</v>
      </c>
    </row>
    <row r="90" spans="1:2" x14ac:dyDescent="0.2">
      <c r="A90" s="3" t="s">
        <v>36</v>
      </c>
      <c r="B90" s="5">
        <v>0.69850000000000001</v>
      </c>
    </row>
    <row r="91" spans="1:2" x14ac:dyDescent="0.2">
      <c r="A91" s="3" t="s">
        <v>37</v>
      </c>
      <c r="B91" s="5">
        <v>0.58089999999999997</v>
      </c>
    </row>
    <row r="92" spans="1:2" x14ac:dyDescent="0.2">
      <c r="A92" s="3" t="s">
        <v>428</v>
      </c>
      <c r="B92" s="5">
        <v>0.60919999999999996</v>
      </c>
    </row>
    <row r="93" spans="1:2" x14ac:dyDescent="0.2">
      <c r="A93" s="3" t="s">
        <v>38</v>
      </c>
      <c r="B93" s="5">
        <v>0.52410000000000001</v>
      </c>
    </row>
    <row r="94" spans="1:2" x14ac:dyDescent="0.2">
      <c r="A94" s="3" t="s">
        <v>115</v>
      </c>
      <c r="B94" s="5">
        <v>0.59489999999999998</v>
      </c>
    </row>
    <row r="95" spans="1:2" x14ac:dyDescent="0.2">
      <c r="A95" s="3" t="s">
        <v>117</v>
      </c>
      <c r="B95" s="5">
        <v>0.58089999999999997</v>
      </c>
    </row>
    <row r="96" spans="1:2" x14ac:dyDescent="0.2">
      <c r="A96" s="3" t="s">
        <v>429</v>
      </c>
      <c r="B96" s="5">
        <v>0.43590000000000001</v>
      </c>
    </row>
    <row r="98" spans="1:2" x14ac:dyDescent="0.2">
      <c r="A98" s="3" t="s">
        <v>35</v>
      </c>
      <c r="B98" s="17">
        <v>0.04</v>
      </c>
    </row>
    <row r="99" spans="1:2" x14ac:dyDescent="0.2">
      <c r="A99" s="3" t="s">
        <v>399</v>
      </c>
      <c r="B99" s="5">
        <v>2.0000000000000001E-4</v>
      </c>
    </row>
    <row r="100" spans="1:2" x14ac:dyDescent="0.2">
      <c r="A100" s="3" t="s">
        <v>430</v>
      </c>
      <c r="B100" s="5">
        <v>0.42859999999999998</v>
      </c>
    </row>
    <row r="101" spans="1:2" x14ac:dyDescent="0.2">
      <c r="A101" s="3" t="s">
        <v>431</v>
      </c>
      <c r="B101" s="3">
        <v>1</v>
      </c>
    </row>
    <row r="102" spans="1:2" x14ac:dyDescent="0.2">
      <c r="A102" s="3" t="s">
        <v>400</v>
      </c>
      <c r="B102" s="5">
        <v>1.14E-2</v>
      </c>
    </row>
    <row r="103" spans="1:2" x14ac:dyDescent="0.2">
      <c r="A103" s="3" t="s">
        <v>432</v>
      </c>
      <c r="B103" s="5">
        <v>9.9000000000000008E-3</v>
      </c>
    </row>
    <row r="104" spans="1:2" x14ac:dyDescent="0.2">
      <c r="A104" s="3" t="s">
        <v>433</v>
      </c>
      <c r="B104" s="5">
        <v>1.01E-2</v>
      </c>
    </row>
    <row r="105" spans="1:2" x14ac:dyDescent="0.2">
      <c r="A105" s="3" t="s">
        <v>30</v>
      </c>
      <c r="B105" s="5">
        <v>1.9099999999999999E-2</v>
      </c>
    </row>
    <row r="106" spans="1:2" x14ac:dyDescent="0.2">
      <c r="A106" s="3" t="s">
        <v>31</v>
      </c>
      <c r="B106" s="5">
        <v>1.5900000000000001E-2</v>
      </c>
    </row>
    <row r="108" spans="1:2" x14ac:dyDescent="0.2">
      <c r="A108" s="3" t="s">
        <v>57</v>
      </c>
      <c r="B108" s="17">
        <v>211.14</v>
      </c>
    </row>
    <row r="109" spans="1:2" x14ac:dyDescent="0.2">
      <c r="A109" s="3" t="s">
        <v>58</v>
      </c>
      <c r="B109" s="5">
        <v>0.1336</v>
      </c>
    </row>
    <row r="110" spans="1:2" x14ac:dyDescent="0.2">
      <c r="A110" s="3" t="s">
        <v>59</v>
      </c>
      <c r="B110" s="3" t="s">
        <v>70</v>
      </c>
    </row>
    <row r="111" spans="1:2" x14ac:dyDescent="0.2">
      <c r="A111" s="3" t="s">
        <v>60</v>
      </c>
      <c r="B111" s="3">
        <v>42</v>
      </c>
    </row>
    <row r="112" spans="1:2" x14ac:dyDescent="0.2">
      <c r="A112" s="3" t="s">
        <v>61</v>
      </c>
      <c r="B112" s="5">
        <v>0.24210000000000001</v>
      </c>
    </row>
    <row r="113" spans="1:2" x14ac:dyDescent="0.2">
      <c r="A113" s="3" t="s">
        <v>62</v>
      </c>
      <c r="B113" s="5">
        <v>0.25340000000000001</v>
      </c>
    </row>
    <row r="115" spans="1:2" x14ac:dyDescent="0.2">
      <c r="A115" s="3" t="s">
        <v>454</v>
      </c>
      <c r="B115" s="3" t="s">
        <v>63</v>
      </c>
    </row>
    <row r="116" spans="1:2" x14ac:dyDescent="0.2">
      <c r="A116" s="3" t="s">
        <v>455</v>
      </c>
      <c r="B116" s="3" t="s">
        <v>63</v>
      </c>
    </row>
    <row r="117" spans="1:2" x14ac:dyDescent="0.2">
      <c r="A117" s="3" t="s">
        <v>456</v>
      </c>
      <c r="B117" s="3" t="s">
        <v>63</v>
      </c>
    </row>
    <row r="118" spans="1:2" x14ac:dyDescent="0.2">
      <c r="A118" s="3" t="s">
        <v>457</v>
      </c>
      <c r="B118" s="3" t="s">
        <v>63</v>
      </c>
    </row>
    <row r="120" spans="1:2" x14ac:dyDescent="0.2">
      <c r="A120" s="3" t="s">
        <v>434</v>
      </c>
      <c r="B120" s="16">
        <v>45453</v>
      </c>
    </row>
    <row r="121" spans="1:2" x14ac:dyDescent="0.2">
      <c r="A121" s="3" t="s">
        <v>435</v>
      </c>
      <c r="B121" s="3" t="s">
        <v>582</v>
      </c>
    </row>
    <row r="122" spans="1:2" x14ac:dyDescent="0.2">
      <c r="A122" s="3" t="s">
        <v>436</v>
      </c>
      <c r="B122" s="78">
        <v>0.41736111111111113</v>
      </c>
    </row>
    <row r="124" spans="1:2" x14ac:dyDescent="0.2">
      <c r="A124" s="3" t="s">
        <v>437</v>
      </c>
      <c r="B124" s="3">
        <v>52.05</v>
      </c>
    </row>
    <row r="125" spans="1:2" x14ac:dyDescent="0.2">
      <c r="A125" s="3" t="s">
        <v>438</v>
      </c>
      <c r="B125" s="3">
        <v>4</v>
      </c>
    </row>
  </sheetData>
  <mergeCells count="30">
    <mergeCell ref="K27:K29"/>
    <mergeCell ref="E30:E32"/>
    <mergeCell ref="G30:G32"/>
    <mergeCell ref="H30:H32"/>
    <mergeCell ref="I30:I32"/>
    <mergeCell ref="J30:J32"/>
    <mergeCell ref="K30:K32"/>
    <mergeCell ref="E27:E29"/>
    <mergeCell ref="G27:G29"/>
    <mergeCell ref="H27:H29"/>
    <mergeCell ref="I27:I29"/>
    <mergeCell ref="J27:J29"/>
    <mergeCell ref="K21:K23"/>
    <mergeCell ref="E24:E26"/>
    <mergeCell ref="G24:G26"/>
    <mergeCell ref="H24:H26"/>
    <mergeCell ref="I24:I26"/>
    <mergeCell ref="J24:J26"/>
    <mergeCell ref="K24:K26"/>
    <mergeCell ref="E21:E23"/>
    <mergeCell ref="G21:G23"/>
    <mergeCell ref="H21:H23"/>
    <mergeCell ref="I21:I23"/>
    <mergeCell ref="J21:J23"/>
    <mergeCell ref="K18:K20"/>
    <mergeCell ref="E18:E20"/>
    <mergeCell ref="G18:G20"/>
    <mergeCell ref="H18:H20"/>
    <mergeCell ref="I18:I20"/>
    <mergeCell ref="J18:J20"/>
  </mergeCells>
  <hyperlinks>
    <hyperlink ref="A5" r:id="rId1" display="file:///stocks/nvda/market-cap" xr:uid="{A6D8EA6E-2329-8D4A-A5E6-B1E010139B78}"/>
    <hyperlink ref="A48" r:id="rId2" display="file:///stocks/nvda/employees" xr:uid="{8A780DD2-C5E9-804E-A3A7-C311FDBA9AA6}"/>
    <hyperlink ref="A68" r:id="rId3" display="file:///stocks/nvda/revenue" xr:uid="{2385F215-C7DD-B647-8697-DA6E05BC85D9}"/>
    <hyperlink ref="D18" r:id="rId4" display="file:///analysts/frank-lee" xr:uid="{0A64DBDB-3FF6-7D44-9308-3CDA8D27C041}"/>
    <hyperlink ref="D21" r:id="rId5" display="file:///analysts/vijay-rakesh" xr:uid="{300186C1-BF21-A246-A94C-57CEBB148F9C}"/>
    <hyperlink ref="D24" r:id="rId6" display="file:///analysts/c.j.-muse" xr:uid="{F8DC0ADB-CA66-C747-BBF7-D9A644CB5B95}"/>
    <hyperlink ref="D27" r:id="rId7" display="file:///analysts/c.j.-muse" xr:uid="{E771DD22-9719-7448-8E51-EFD00F5BB3CD}"/>
    <hyperlink ref="D30" r:id="rId8" display="file:///analysts/john-vinh" xr:uid="{D6796041-6AA1-1D43-A13B-F5E7D486F94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06706-46CB-2244-AB3D-5BB5DAD2AB4D}">
  <sheetPr codeName="Sheet2">
    <tabColor theme="2" tint="-0.249977111117893"/>
  </sheetPr>
  <dimension ref="A5:AD217"/>
  <sheetViews>
    <sheetView zoomScale="125" workbookViewId="0">
      <selection activeCell="A18" sqref="A18"/>
    </sheetView>
  </sheetViews>
  <sheetFormatPr baseColWidth="10" defaultRowHeight="16" x14ac:dyDescent="0.2"/>
  <cols>
    <col min="1" max="1" width="25.6640625" bestFit="1" customWidth="1"/>
    <col min="2" max="2" width="12.83203125" bestFit="1" customWidth="1"/>
    <col min="3" max="26" width="6.5" bestFit="1" customWidth="1"/>
    <col min="27" max="27" width="7.33203125" bestFit="1" customWidth="1"/>
    <col min="28" max="29" width="6.5" bestFit="1" customWidth="1"/>
    <col min="30" max="30" width="5.6640625" bestFit="1" customWidth="1"/>
    <col min="31" max="32" width="6.5" bestFit="1" customWidth="1"/>
    <col min="33" max="33" width="5.6640625" bestFit="1" customWidth="1"/>
    <col min="34" max="34" width="6.5" bestFit="1" customWidth="1"/>
    <col min="35" max="36" width="7" bestFit="1" customWidth="1"/>
    <col min="37" max="41" width="6.5" bestFit="1" customWidth="1"/>
    <col min="42" max="42" width="7.33203125" bestFit="1" customWidth="1"/>
    <col min="43" max="43" width="2" bestFit="1" customWidth="1"/>
  </cols>
  <sheetData>
    <row r="5" spans="1:29" ht="16" customHeight="1" x14ac:dyDescent="0.2">
      <c r="A5" s="88" t="s">
        <v>220</v>
      </c>
      <c r="B5" s="1" t="s">
        <v>221</v>
      </c>
      <c r="C5" s="1">
        <v>2025</v>
      </c>
      <c r="D5" s="1">
        <v>2024</v>
      </c>
      <c r="E5" s="1">
        <v>2023</v>
      </c>
      <c r="F5" s="1">
        <v>2022</v>
      </c>
      <c r="G5" s="1">
        <v>2021</v>
      </c>
      <c r="H5" s="1">
        <v>2020</v>
      </c>
      <c r="I5" s="1">
        <v>2019</v>
      </c>
      <c r="J5" s="1">
        <v>2018</v>
      </c>
      <c r="K5" s="1">
        <v>2017</v>
      </c>
      <c r="L5" s="1">
        <v>2016</v>
      </c>
      <c r="M5" s="1">
        <v>2015</v>
      </c>
      <c r="N5" s="1">
        <v>2014</v>
      </c>
      <c r="O5" s="1">
        <v>2013</v>
      </c>
      <c r="P5" s="1">
        <v>2012</v>
      </c>
      <c r="Q5" s="1">
        <v>2011</v>
      </c>
      <c r="R5" s="1">
        <v>2010</v>
      </c>
      <c r="S5" s="1">
        <v>2009</v>
      </c>
      <c r="T5" s="1">
        <v>2008</v>
      </c>
      <c r="U5" s="1">
        <v>2007</v>
      </c>
      <c r="V5" s="1">
        <v>2006</v>
      </c>
      <c r="W5" s="1">
        <v>2005</v>
      </c>
      <c r="X5" s="1">
        <v>2004</v>
      </c>
      <c r="Y5" s="1">
        <v>2003</v>
      </c>
      <c r="Z5" s="1">
        <v>2002</v>
      </c>
      <c r="AA5" s="1">
        <v>2001</v>
      </c>
      <c r="AB5" s="1">
        <v>2000</v>
      </c>
      <c r="AC5" s="1">
        <v>1999</v>
      </c>
    </row>
    <row r="6" spans="1:29" ht="16" customHeight="1" x14ac:dyDescent="0.2">
      <c r="A6" s="88"/>
      <c r="B6" s="37" t="s">
        <v>222</v>
      </c>
      <c r="C6" s="38">
        <v>45688</v>
      </c>
      <c r="D6" s="38">
        <v>45688</v>
      </c>
      <c r="E6" s="38">
        <v>45688</v>
      </c>
      <c r="F6" s="38">
        <v>45688</v>
      </c>
      <c r="G6" s="38">
        <v>45688</v>
      </c>
      <c r="H6" s="38">
        <v>45688</v>
      </c>
      <c r="I6" s="38">
        <v>45688</v>
      </c>
      <c r="J6" s="38">
        <v>45688</v>
      </c>
      <c r="K6" s="38">
        <v>45688</v>
      </c>
      <c r="L6" s="38">
        <v>45688</v>
      </c>
      <c r="M6" s="38">
        <v>45688</v>
      </c>
      <c r="N6" s="38">
        <v>45688</v>
      </c>
      <c r="O6" s="38">
        <v>45688</v>
      </c>
      <c r="P6" s="38">
        <v>45688</v>
      </c>
      <c r="Q6" s="38">
        <v>45688</v>
      </c>
      <c r="R6" s="38">
        <v>45688</v>
      </c>
      <c r="S6" s="38">
        <v>45688</v>
      </c>
      <c r="T6" s="38">
        <v>45688</v>
      </c>
      <c r="U6" s="38">
        <v>45688</v>
      </c>
      <c r="V6" s="38">
        <v>45688</v>
      </c>
      <c r="W6" s="38">
        <v>45688</v>
      </c>
      <c r="X6" s="38">
        <v>45688</v>
      </c>
      <c r="Y6" s="38">
        <v>45688</v>
      </c>
      <c r="Z6" s="38">
        <v>45688</v>
      </c>
      <c r="AA6" s="38">
        <v>45688</v>
      </c>
      <c r="AB6" s="38">
        <v>45688</v>
      </c>
      <c r="AC6" s="38">
        <v>45688</v>
      </c>
    </row>
    <row r="7" spans="1:29" x14ac:dyDescent="0.2">
      <c r="A7" s="39" t="s">
        <v>223</v>
      </c>
      <c r="B7" s="40">
        <v>45896</v>
      </c>
      <c r="C7" s="40">
        <v>45714</v>
      </c>
      <c r="D7" s="40">
        <v>45343</v>
      </c>
      <c r="E7" s="40">
        <v>44981</v>
      </c>
      <c r="F7" s="40">
        <v>44638</v>
      </c>
      <c r="G7" s="40">
        <v>44253</v>
      </c>
      <c r="H7" s="40">
        <v>43881</v>
      </c>
      <c r="I7" s="40">
        <v>43517</v>
      </c>
      <c r="J7" s="40">
        <v>43159</v>
      </c>
      <c r="K7" s="40">
        <v>42795</v>
      </c>
      <c r="L7" s="40">
        <v>42446</v>
      </c>
      <c r="M7" s="40">
        <v>42075</v>
      </c>
      <c r="N7" s="40">
        <v>41711</v>
      </c>
      <c r="O7" s="40">
        <v>41345</v>
      </c>
      <c r="P7" s="40">
        <v>40981</v>
      </c>
      <c r="Q7" s="40">
        <v>40618</v>
      </c>
      <c r="R7" s="40">
        <v>40255</v>
      </c>
      <c r="S7" s="40">
        <v>39885</v>
      </c>
      <c r="T7" s="40">
        <v>39478</v>
      </c>
      <c r="U7" s="40">
        <v>39157</v>
      </c>
      <c r="V7" s="40">
        <v>39050</v>
      </c>
      <c r="W7" s="40">
        <v>38433</v>
      </c>
      <c r="X7" s="40">
        <v>38075</v>
      </c>
      <c r="Y7" s="40">
        <v>37736</v>
      </c>
      <c r="Z7" s="40">
        <v>37390</v>
      </c>
      <c r="AA7" s="40">
        <v>37036</v>
      </c>
      <c r="AB7" s="40">
        <v>36598</v>
      </c>
      <c r="AC7" s="40">
        <v>36279</v>
      </c>
    </row>
    <row r="8" spans="1:29" x14ac:dyDescent="0.2">
      <c r="A8" s="39" t="s">
        <v>32</v>
      </c>
      <c r="B8" s="4">
        <v>165218</v>
      </c>
      <c r="C8" s="4">
        <v>130497</v>
      </c>
      <c r="D8" s="4">
        <v>60922</v>
      </c>
      <c r="E8" s="4">
        <v>26974</v>
      </c>
      <c r="F8" s="4">
        <v>26914</v>
      </c>
      <c r="G8" s="4">
        <v>16675</v>
      </c>
      <c r="H8" s="4">
        <v>10918</v>
      </c>
      <c r="I8" s="4">
        <v>11716</v>
      </c>
      <c r="J8" s="4">
        <v>9714</v>
      </c>
      <c r="K8" s="4">
        <v>6910</v>
      </c>
      <c r="L8" s="4">
        <v>5010</v>
      </c>
      <c r="M8" s="4">
        <v>4682</v>
      </c>
      <c r="N8" s="4">
        <v>4130</v>
      </c>
      <c r="O8" s="4">
        <v>4280</v>
      </c>
      <c r="P8" s="4">
        <v>3998</v>
      </c>
      <c r="Q8" s="4">
        <v>3543</v>
      </c>
      <c r="R8" s="4">
        <v>3326</v>
      </c>
      <c r="S8" s="4">
        <v>3425</v>
      </c>
      <c r="T8" s="4">
        <v>4098</v>
      </c>
      <c r="U8" s="4">
        <v>3069</v>
      </c>
      <c r="V8" s="4">
        <v>2376</v>
      </c>
      <c r="W8" s="4">
        <v>2010</v>
      </c>
      <c r="X8" s="4">
        <v>1823</v>
      </c>
      <c r="Y8" s="4">
        <v>1909</v>
      </c>
      <c r="Z8" s="4">
        <v>1369</v>
      </c>
      <c r="AA8" s="3">
        <v>735.3</v>
      </c>
      <c r="AB8" s="3">
        <v>374.5</v>
      </c>
      <c r="AC8" s="3">
        <v>158.19999999999999</v>
      </c>
    </row>
    <row r="9" spans="1:29" x14ac:dyDescent="0.2">
      <c r="A9" s="39" t="s">
        <v>103</v>
      </c>
      <c r="B9" s="4">
        <v>49818</v>
      </c>
      <c r="C9" s="4">
        <v>32639</v>
      </c>
      <c r="D9" s="4">
        <v>16621</v>
      </c>
      <c r="E9" s="4">
        <v>11618</v>
      </c>
      <c r="F9" s="4">
        <v>9439</v>
      </c>
      <c r="G9" s="4">
        <v>6279</v>
      </c>
      <c r="H9" s="4">
        <v>4150</v>
      </c>
      <c r="I9" s="4">
        <v>4545</v>
      </c>
      <c r="J9" s="4">
        <v>3892</v>
      </c>
      <c r="K9" s="4">
        <v>2847</v>
      </c>
      <c r="L9" s="4">
        <v>2199</v>
      </c>
      <c r="M9" s="4">
        <v>2083</v>
      </c>
      <c r="N9" s="4">
        <v>1862</v>
      </c>
      <c r="O9" s="4">
        <v>2054</v>
      </c>
      <c r="P9" s="4">
        <v>1941</v>
      </c>
      <c r="Q9" s="4">
        <v>2134</v>
      </c>
      <c r="R9" s="4">
        <v>2150</v>
      </c>
      <c r="S9" s="4">
        <v>2251</v>
      </c>
      <c r="T9" s="4">
        <v>2229</v>
      </c>
      <c r="U9" s="4">
        <v>1768</v>
      </c>
      <c r="V9" s="4">
        <v>1466</v>
      </c>
      <c r="W9" s="4">
        <v>1362</v>
      </c>
      <c r="X9" s="4">
        <v>1294</v>
      </c>
      <c r="Y9" s="4">
        <v>1333</v>
      </c>
      <c r="Z9" s="3">
        <v>850.2</v>
      </c>
      <c r="AA9" s="3">
        <v>462.4</v>
      </c>
      <c r="AB9" s="3">
        <v>232.7</v>
      </c>
      <c r="AC9" s="3">
        <v>103.2</v>
      </c>
    </row>
    <row r="10" spans="1:29" x14ac:dyDescent="0.2">
      <c r="A10" s="41" t="s">
        <v>1</v>
      </c>
      <c r="B10" s="4">
        <v>115400</v>
      </c>
      <c r="C10" s="4">
        <v>97858</v>
      </c>
      <c r="D10" s="4">
        <v>44301</v>
      </c>
      <c r="E10" s="4">
        <v>15356</v>
      </c>
      <c r="F10" s="4">
        <v>17475</v>
      </c>
      <c r="G10" s="4">
        <v>10396</v>
      </c>
      <c r="H10" s="4">
        <v>6768</v>
      </c>
      <c r="I10" s="4">
        <v>7171</v>
      </c>
      <c r="J10" s="4">
        <v>5822</v>
      </c>
      <c r="K10" s="4">
        <v>4063</v>
      </c>
      <c r="L10" s="4">
        <v>2811</v>
      </c>
      <c r="M10" s="4">
        <v>2599</v>
      </c>
      <c r="N10" s="4">
        <v>2268</v>
      </c>
      <c r="O10" s="4">
        <v>2226</v>
      </c>
      <c r="P10" s="4">
        <v>2057</v>
      </c>
      <c r="Q10" s="4">
        <v>1409</v>
      </c>
      <c r="R10" s="4">
        <v>1177</v>
      </c>
      <c r="S10" s="4">
        <v>1174</v>
      </c>
      <c r="T10" s="4">
        <v>1869</v>
      </c>
      <c r="U10" s="4">
        <v>1300</v>
      </c>
      <c r="V10" s="3">
        <v>910</v>
      </c>
      <c r="W10" s="3">
        <v>647.6</v>
      </c>
      <c r="X10" s="3">
        <v>528.9</v>
      </c>
      <c r="Y10" s="3">
        <v>576</v>
      </c>
      <c r="Z10" s="3">
        <v>519.20000000000005</v>
      </c>
      <c r="AA10" s="3">
        <v>272.89999999999998</v>
      </c>
      <c r="AB10" s="3">
        <v>141.80000000000001</v>
      </c>
      <c r="AC10" s="3">
        <v>55</v>
      </c>
    </row>
    <row r="11" spans="1:29" x14ac:dyDescent="0.2">
      <c r="A11" s="39" t="s">
        <v>224</v>
      </c>
      <c r="B11" s="4">
        <v>19419</v>
      </c>
      <c r="C11" s="4">
        <v>16405</v>
      </c>
      <c r="D11" s="4">
        <v>11329</v>
      </c>
      <c r="E11" s="4">
        <v>11132</v>
      </c>
      <c r="F11" s="4">
        <v>7434</v>
      </c>
      <c r="G11" s="4">
        <v>5864</v>
      </c>
      <c r="H11" s="4">
        <v>3922</v>
      </c>
      <c r="I11" s="4">
        <v>3367</v>
      </c>
      <c r="J11" s="4">
        <v>2612</v>
      </c>
      <c r="K11" s="4">
        <v>2129</v>
      </c>
      <c r="L11" s="4">
        <v>2064</v>
      </c>
      <c r="M11" s="4">
        <v>1840</v>
      </c>
      <c r="N11" s="4">
        <v>1772</v>
      </c>
      <c r="O11" s="4">
        <v>1578</v>
      </c>
      <c r="P11" s="4">
        <v>1408</v>
      </c>
      <c r="Q11" s="4">
        <v>1153</v>
      </c>
      <c r="R11" s="4">
        <v>1276</v>
      </c>
      <c r="S11" s="4">
        <v>1245</v>
      </c>
      <c r="T11" s="4">
        <v>1033</v>
      </c>
      <c r="U11" s="3">
        <v>847</v>
      </c>
      <c r="V11" s="3">
        <v>573.4</v>
      </c>
      <c r="W11" s="3">
        <v>552.4</v>
      </c>
      <c r="X11" s="3">
        <v>438.7</v>
      </c>
      <c r="Y11" s="3">
        <v>432</v>
      </c>
      <c r="Z11" s="3">
        <v>277.5</v>
      </c>
      <c r="AA11" s="3">
        <v>144.69999999999999</v>
      </c>
      <c r="AB11" s="3">
        <v>83.23</v>
      </c>
      <c r="AC11" s="3">
        <v>50.5</v>
      </c>
    </row>
    <row r="12" spans="1:29" x14ac:dyDescent="0.2">
      <c r="A12" s="39" t="s">
        <v>215</v>
      </c>
      <c r="B12" s="4">
        <v>15384</v>
      </c>
      <c r="C12" s="4">
        <v>12914</v>
      </c>
      <c r="D12" s="4">
        <v>8675</v>
      </c>
      <c r="E12" s="4">
        <v>7339</v>
      </c>
      <c r="F12" s="4">
        <v>5268</v>
      </c>
      <c r="G12" s="4">
        <v>3924</v>
      </c>
      <c r="H12" s="4">
        <v>2829</v>
      </c>
      <c r="I12" s="4">
        <v>2376</v>
      </c>
      <c r="J12" s="4">
        <v>1797</v>
      </c>
      <c r="K12" s="4">
        <v>1463</v>
      </c>
      <c r="L12" s="4">
        <v>1331</v>
      </c>
      <c r="M12" s="4">
        <v>1360</v>
      </c>
      <c r="N12" s="4">
        <v>1336</v>
      </c>
      <c r="O12" s="4">
        <v>1147</v>
      </c>
      <c r="P12" s="4">
        <v>1003</v>
      </c>
      <c r="Q12" s="3">
        <v>848.8</v>
      </c>
      <c r="R12" s="3">
        <v>908.9</v>
      </c>
      <c r="S12" s="3">
        <v>855.9</v>
      </c>
      <c r="T12" s="3">
        <v>691.6</v>
      </c>
      <c r="U12" s="3">
        <v>553.5</v>
      </c>
      <c r="V12" s="3">
        <v>357.1</v>
      </c>
      <c r="W12" s="3">
        <v>348.2</v>
      </c>
      <c r="X12" s="3">
        <v>270</v>
      </c>
      <c r="Y12" s="3">
        <v>224.9</v>
      </c>
      <c r="Z12" s="3">
        <v>153.9</v>
      </c>
      <c r="AA12" s="3">
        <v>86.05</v>
      </c>
      <c r="AB12" s="3">
        <v>46.91</v>
      </c>
      <c r="AC12" s="3">
        <v>25.1</v>
      </c>
    </row>
    <row r="13" spans="1:29" x14ac:dyDescent="0.2">
      <c r="A13" s="39" t="s">
        <v>225</v>
      </c>
      <c r="B13" s="4">
        <v>4035</v>
      </c>
      <c r="C13" s="4">
        <v>3491</v>
      </c>
      <c r="D13" s="4">
        <v>2654</v>
      </c>
      <c r="E13" s="4">
        <v>2440</v>
      </c>
      <c r="F13" s="4">
        <v>2166</v>
      </c>
      <c r="G13" s="4">
        <v>1940</v>
      </c>
      <c r="H13" s="4">
        <v>1093</v>
      </c>
      <c r="I13" s="3">
        <v>991</v>
      </c>
      <c r="J13" s="3">
        <v>815</v>
      </c>
      <c r="K13" s="3">
        <v>663</v>
      </c>
      <c r="L13" s="3">
        <v>602</v>
      </c>
      <c r="M13" s="3">
        <v>480</v>
      </c>
      <c r="N13" s="3">
        <v>436</v>
      </c>
      <c r="O13" s="3">
        <v>430.8</v>
      </c>
      <c r="P13" s="3">
        <v>405.6</v>
      </c>
      <c r="Q13" s="3">
        <v>361.5</v>
      </c>
      <c r="R13" s="3">
        <v>367</v>
      </c>
      <c r="S13" s="3">
        <v>362.2</v>
      </c>
      <c r="T13" s="3">
        <v>341.3</v>
      </c>
      <c r="U13" s="3">
        <v>293.5</v>
      </c>
      <c r="V13" s="3">
        <v>202.1</v>
      </c>
      <c r="W13" s="3">
        <v>204.2</v>
      </c>
      <c r="X13" s="3">
        <v>165.2</v>
      </c>
      <c r="Y13" s="3">
        <v>207.2</v>
      </c>
      <c r="Z13" s="3">
        <v>97.19</v>
      </c>
      <c r="AA13" s="3">
        <v>58.7</v>
      </c>
      <c r="AB13" s="3">
        <v>36.31</v>
      </c>
      <c r="AC13" s="3">
        <v>18.899999999999999</v>
      </c>
    </row>
    <row r="14" spans="1:29" x14ac:dyDescent="0.2">
      <c r="A14" s="39" t="s">
        <v>217</v>
      </c>
      <c r="B14" s="3">
        <v>0</v>
      </c>
      <c r="C14" s="3">
        <v>0</v>
      </c>
      <c r="D14" s="3">
        <v>0</v>
      </c>
      <c r="E14" s="4">
        <v>1353</v>
      </c>
      <c r="F14" s="3">
        <v>0</v>
      </c>
      <c r="G14" s="3">
        <v>0</v>
      </c>
      <c r="H14" s="3">
        <v>0</v>
      </c>
      <c r="I14" s="3">
        <v>0</v>
      </c>
      <c r="J14" s="3">
        <v>0</v>
      </c>
      <c r="K14" s="3">
        <v>3</v>
      </c>
      <c r="L14" s="3">
        <v>131</v>
      </c>
      <c r="M14" s="3">
        <v>0</v>
      </c>
      <c r="N14" s="3">
        <v>0</v>
      </c>
      <c r="O14" s="3">
        <v>0</v>
      </c>
      <c r="P14" s="3">
        <v>0</v>
      </c>
      <c r="Q14" s="3">
        <v>-57</v>
      </c>
      <c r="R14" s="3">
        <v>0</v>
      </c>
      <c r="S14" s="3">
        <v>26.87</v>
      </c>
      <c r="T14" s="3">
        <v>0</v>
      </c>
      <c r="U14" s="3">
        <v>0</v>
      </c>
      <c r="V14" s="3">
        <v>14.16</v>
      </c>
      <c r="W14" s="3">
        <v>0</v>
      </c>
      <c r="X14" s="3">
        <v>3.5</v>
      </c>
      <c r="Y14" s="3">
        <v>0</v>
      </c>
      <c r="Z14" s="3">
        <v>26.4</v>
      </c>
      <c r="AA14" s="3">
        <v>0</v>
      </c>
      <c r="AB14" s="3">
        <v>0</v>
      </c>
      <c r="AC14" s="3">
        <v>6.5</v>
      </c>
    </row>
    <row r="15" spans="1:29" x14ac:dyDescent="0.2">
      <c r="A15" s="41" t="s">
        <v>106</v>
      </c>
      <c r="B15" s="4">
        <v>95981</v>
      </c>
      <c r="C15" s="4">
        <v>81453</v>
      </c>
      <c r="D15" s="4">
        <v>32972</v>
      </c>
      <c r="E15" s="4">
        <v>4224</v>
      </c>
      <c r="F15" s="4">
        <v>10041</v>
      </c>
      <c r="G15" s="4">
        <v>4532</v>
      </c>
      <c r="H15" s="4">
        <v>2846</v>
      </c>
      <c r="I15" s="4">
        <v>3804</v>
      </c>
      <c r="J15" s="4">
        <v>3210</v>
      </c>
      <c r="K15" s="4">
        <v>1934</v>
      </c>
      <c r="L15" s="3">
        <v>747</v>
      </c>
      <c r="M15" s="3">
        <v>759</v>
      </c>
      <c r="N15" s="3">
        <v>496</v>
      </c>
      <c r="O15" s="3">
        <v>648.20000000000005</v>
      </c>
      <c r="P15" s="3">
        <v>648.29999999999995</v>
      </c>
      <c r="Q15" s="3">
        <v>255.7</v>
      </c>
      <c r="R15" s="3">
        <v>-98.94</v>
      </c>
      <c r="S15" s="3">
        <v>-70.7</v>
      </c>
      <c r="T15" s="3">
        <v>836.3</v>
      </c>
      <c r="U15" s="3">
        <v>453.5</v>
      </c>
      <c r="V15" s="3">
        <v>336.7</v>
      </c>
      <c r="W15" s="3">
        <v>95.18</v>
      </c>
      <c r="X15" s="3">
        <v>90.16</v>
      </c>
      <c r="Y15" s="3">
        <v>144</v>
      </c>
      <c r="Z15" s="3">
        <v>241.7</v>
      </c>
      <c r="AA15" s="3">
        <v>128.1</v>
      </c>
      <c r="AB15" s="3">
        <v>58.62</v>
      </c>
      <c r="AC15" s="3">
        <v>4.5</v>
      </c>
    </row>
    <row r="16" spans="1:29" x14ac:dyDescent="0.2">
      <c r="A16" s="39" t="s">
        <v>226</v>
      </c>
      <c r="B16" s="4">
        <v>1843</v>
      </c>
      <c r="C16" s="4">
        <v>1539</v>
      </c>
      <c r="D16" s="3">
        <v>609</v>
      </c>
      <c r="E16" s="3">
        <v>5</v>
      </c>
      <c r="F16" s="3">
        <v>-207</v>
      </c>
      <c r="G16" s="3">
        <v>-127</v>
      </c>
      <c r="H16" s="3">
        <v>126</v>
      </c>
      <c r="I16" s="3">
        <v>78</v>
      </c>
      <c r="J16" s="3">
        <v>8</v>
      </c>
      <c r="K16" s="3">
        <v>-4</v>
      </c>
      <c r="L16" s="3">
        <v>-8</v>
      </c>
      <c r="M16" s="3">
        <v>-18</v>
      </c>
      <c r="N16" s="3">
        <v>7</v>
      </c>
      <c r="O16" s="3">
        <v>16.61</v>
      </c>
      <c r="P16" s="3">
        <v>16.059999999999999</v>
      </c>
      <c r="Q16" s="3">
        <v>15.93</v>
      </c>
      <c r="R16" s="3">
        <v>19.8</v>
      </c>
      <c r="S16" s="3">
        <v>42.45</v>
      </c>
      <c r="T16" s="3">
        <v>0</v>
      </c>
      <c r="U16" s="3">
        <v>0</v>
      </c>
      <c r="V16" s="3">
        <v>0</v>
      </c>
      <c r="W16" s="3">
        <v>0</v>
      </c>
      <c r="X16" s="3">
        <v>0</v>
      </c>
      <c r="Y16" s="3">
        <v>0</v>
      </c>
      <c r="Z16" s="3">
        <v>0</v>
      </c>
      <c r="AA16" s="3">
        <v>0</v>
      </c>
      <c r="AB16" s="3">
        <v>0</v>
      </c>
      <c r="AC16" s="3">
        <v>0</v>
      </c>
    </row>
    <row r="17" spans="1:29" x14ac:dyDescent="0.2">
      <c r="A17" s="39" t="s">
        <v>227</v>
      </c>
      <c r="B17" s="4">
        <v>2090</v>
      </c>
      <c r="C17" s="4">
        <v>1786</v>
      </c>
      <c r="D17" s="3">
        <v>866</v>
      </c>
      <c r="E17" s="3">
        <v>267</v>
      </c>
      <c r="F17" s="3">
        <v>29</v>
      </c>
      <c r="G17" s="3">
        <v>57</v>
      </c>
      <c r="H17" s="3">
        <v>178</v>
      </c>
      <c r="I17" s="3">
        <v>136</v>
      </c>
      <c r="J17" s="3">
        <v>69</v>
      </c>
      <c r="K17" s="3">
        <v>54</v>
      </c>
      <c r="L17" s="3">
        <v>39</v>
      </c>
      <c r="M17" s="3">
        <v>28</v>
      </c>
      <c r="N17" s="3">
        <v>17</v>
      </c>
      <c r="O17" s="3">
        <v>19.91</v>
      </c>
      <c r="P17" s="3">
        <v>19.149999999999999</v>
      </c>
      <c r="Q17" s="3">
        <v>19.059999999999999</v>
      </c>
      <c r="R17" s="3">
        <v>23.11</v>
      </c>
      <c r="S17" s="3">
        <v>42.86</v>
      </c>
      <c r="T17" s="3">
        <v>0</v>
      </c>
      <c r="U17" s="3">
        <v>0</v>
      </c>
      <c r="V17" s="3">
        <v>0</v>
      </c>
      <c r="W17" s="3">
        <v>0</v>
      </c>
      <c r="X17" s="3">
        <v>0</v>
      </c>
      <c r="Y17" s="3">
        <v>0</v>
      </c>
      <c r="Z17" s="3">
        <v>0</v>
      </c>
      <c r="AA17" s="3">
        <v>0</v>
      </c>
      <c r="AB17" s="3">
        <v>0</v>
      </c>
      <c r="AC17" s="3">
        <v>0</v>
      </c>
    </row>
    <row r="18" spans="1:29" x14ac:dyDescent="0.2">
      <c r="A18" s="39" t="s">
        <v>107</v>
      </c>
      <c r="B18" s="3">
        <v>247</v>
      </c>
      <c r="C18" s="3">
        <v>247</v>
      </c>
      <c r="D18" s="3">
        <v>257</v>
      </c>
      <c r="E18" s="3">
        <v>262</v>
      </c>
      <c r="F18" s="3">
        <v>236</v>
      </c>
      <c r="G18" s="3">
        <v>184</v>
      </c>
      <c r="H18" s="3">
        <v>52</v>
      </c>
      <c r="I18" s="3">
        <v>58</v>
      </c>
      <c r="J18" s="3">
        <v>61</v>
      </c>
      <c r="K18" s="3">
        <v>58</v>
      </c>
      <c r="L18" s="3">
        <v>47</v>
      </c>
      <c r="M18" s="3">
        <v>46</v>
      </c>
      <c r="N18" s="3">
        <v>10</v>
      </c>
      <c r="O18" s="3">
        <v>3.29</v>
      </c>
      <c r="P18" s="3">
        <v>3.09</v>
      </c>
      <c r="Q18" s="3">
        <v>3.13</v>
      </c>
      <c r="R18" s="3">
        <v>3.32</v>
      </c>
      <c r="S18" s="3">
        <v>0.40600000000000003</v>
      </c>
      <c r="T18" s="3">
        <v>0</v>
      </c>
      <c r="U18" s="3">
        <v>0</v>
      </c>
      <c r="V18" s="3">
        <v>0</v>
      </c>
      <c r="W18" s="3">
        <v>0</v>
      </c>
      <c r="X18" s="3">
        <v>0</v>
      </c>
      <c r="Y18" s="3">
        <v>0</v>
      </c>
      <c r="Z18" s="3">
        <v>0</v>
      </c>
      <c r="AA18" s="3">
        <v>0</v>
      </c>
      <c r="AB18" s="3">
        <v>0</v>
      </c>
      <c r="AC18" s="3">
        <v>0</v>
      </c>
    </row>
    <row r="19" spans="1:29" x14ac:dyDescent="0.2">
      <c r="A19" s="39" t="s">
        <v>228</v>
      </c>
      <c r="B19" s="4">
        <v>2825</v>
      </c>
      <c r="C19" s="4">
        <v>1034</v>
      </c>
      <c r="D19" s="3">
        <v>237</v>
      </c>
      <c r="E19" s="3">
        <v>-48</v>
      </c>
      <c r="F19" s="3">
        <v>107</v>
      </c>
      <c r="G19" s="3">
        <v>4</v>
      </c>
      <c r="H19" s="3">
        <v>-2</v>
      </c>
      <c r="I19" s="3">
        <v>14</v>
      </c>
      <c r="J19" s="3">
        <v>-22</v>
      </c>
      <c r="K19" s="3">
        <v>-25</v>
      </c>
      <c r="L19" s="3">
        <v>4</v>
      </c>
      <c r="M19" s="3">
        <v>14</v>
      </c>
      <c r="N19" s="3">
        <v>7</v>
      </c>
      <c r="O19" s="3">
        <v>-2.81</v>
      </c>
      <c r="P19" s="3">
        <v>-0.96299999999999997</v>
      </c>
      <c r="Q19" s="3">
        <v>-0.50800000000000001</v>
      </c>
      <c r="R19" s="3">
        <v>-3.14</v>
      </c>
      <c r="S19" s="3">
        <v>-14.71</v>
      </c>
      <c r="T19" s="3">
        <v>65</v>
      </c>
      <c r="U19" s="3">
        <v>41.03</v>
      </c>
      <c r="V19" s="3">
        <v>20.12</v>
      </c>
      <c r="W19" s="3">
        <v>11.85</v>
      </c>
      <c r="X19" s="3">
        <v>-3.48</v>
      </c>
      <c r="Y19" s="3">
        <v>6.57</v>
      </c>
      <c r="Z19" s="3">
        <v>11.02</v>
      </c>
      <c r="AA19" s="3">
        <v>16.670000000000002</v>
      </c>
      <c r="AB19" s="3">
        <v>1.75</v>
      </c>
      <c r="AC19" s="3">
        <v>0</v>
      </c>
    </row>
    <row r="20" spans="1:29" x14ac:dyDescent="0.2">
      <c r="A20" s="41" t="s">
        <v>229</v>
      </c>
      <c r="B20" s="4">
        <v>100649</v>
      </c>
      <c r="C20" s="4">
        <v>84026</v>
      </c>
      <c r="D20" s="4">
        <v>33818</v>
      </c>
      <c r="E20" s="4">
        <v>4181</v>
      </c>
      <c r="F20" s="4">
        <v>9941</v>
      </c>
      <c r="G20" s="4">
        <v>4409</v>
      </c>
      <c r="H20" s="4">
        <v>2970</v>
      </c>
      <c r="I20" s="4">
        <v>3896</v>
      </c>
      <c r="J20" s="4">
        <v>3196</v>
      </c>
      <c r="K20" s="4">
        <v>1905</v>
      </c>
      <c r="L20" s="3">
        <v>743</v>
      </c>
      <c r="M20" s="3">
        <v>755</v>
      </c>
      <c r="N20" s="3">
        <v>510</v>
      </c>
      <c r="O20" s="3">
        <v>662</v>
      </c>
      <c r="P20" s="3">
        <v>663.4</v>
      </c>
      <c r="Q20" s="3">
        <v>271.2</v>
      </c>
      <c r="R20" s="3">
        <v>-82.29</v>
      </c>
      <c r="S20" s="3">
        <v>-42.95</v>
      </c>
      <c r="T20" s="3">
        <v>901.3</v>
      </c>
      <c r="U20" s="3">
        <v>494.5</v>
      </c>
      <c r="V20" s="3">
        <v>356.8</v>
      </c>
      <c r="W20" s="3">
        <v>107</v>
      </c>
      <c r="X20" s="3">
        <v>86.67</v>
      </c>
      <c r="Y20" s="3">
        <v>150.6</v>
      </c>
      <c r="Z20" s="3">
        <v>252.7</v>
      </c>
      <c r="AA20" s="3">
        <v>144.80000000000001</v>
      </c>
      <c r="AB20" s="3">
        <v>60.37</v>
      </c>
      <c r="AC20" s="3">
        <v>4.5</v>
      </c>
    </row>
    <row r="21" spans="1:29" x14ac:dyDescent="0.2">
      <c r="A21" s="39" t="s">
        <v>110</v>
      </c>
      <c r="B21" s="4">
        <v>14052</v>
      </c>
      <c r="C21" s="4">
        <v>11146</v>
      </c>
      <c r="D21" s="4">
        <v>4058</v>
      </c>
      <c r="E21" s="3">
        <v>-187</v>
      </c>
      <c r="F21" s="3">
        <v>189</v>
      </c>
      <c r="G21" s="3">
        <v>77</v>
      </c>
      <c r="H21" s="3">
        <v>174</v>
      </c>
      <c r="I21" s="3">
        <v>-245</v>
      </c>
      <c r="J21" s="3">
        <v>149</v>
      </c>
      <c r="K21" s="3">
        <v>239</v>
      </c>
      <c r="L21" s="3">
        <v>129</v>
      </c>
      <c r="M21" s="3">
        <v>124</v>
      </c>
      <c r="N21" s="3">
        <v>70</v>
      </c>
      <c r="O21" s="3">
        <v>99.5</v>
      </c>
      <c r="P21" s="3">
        <v>82.31</v>
      </c>
      <c r="Q21" s="3">
        <v>18.02</v>
      </c>
      <c r="R21" s="3">
        <v>-14.31</v>
      </c>
      <c r="S21" s="3">
        <v>-12.91</v>
      </c>
      <c r="T21" s="3">
        <v>103.7</v>
      </c>
      <c r="U21" s="3">
        <v>46.35</v>
      </c>
      <c r="V21" s="3">
        <v>55.61</v>
      </c>
      <c r="W21" s="3">
        <v>18.41</v>
      </c>
      <c r="X21" s="3">
        <v>12.25</v>
      </c>
      <c r="Y21" s="3">
        <v>59.76</v>
      </c>
      <c r="Z21" s="3">
        <v>75.83</v>
      </c>
      <c r="AA21" s="3">
        <v>46.34</v>
      </c>
      <c r="AB21" s="3">
        <v>19.41</v>
      </c>
      <c r="AC21" s="3">
        <v>0.4</v>
      </c>
    </row>
    <row r="22" spans="1:29" ht="16" customHeight="1" x14ac:dyDescent="0.2">
      <c r="A22" s="39" t="s">
        <v>230</v>
      </c>
      <c r="B22" s="3">
        <v>0</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-0.70399999999999996</v>
      </c>
      <c r="V22" s="3">
        <v>0</v>
      </c>
      <c r="W22" s="3">
        <v>0</v>
      </c>
      <c r="X22" s="3">
        <v>0</v>
      </c>
      <c r="Y22" s="3">
        <v>0</v>
      </c>
      <c r="Z22" s="3">
        <v>0</v>
      </c>
      <c r="AA22" s="3">
        <v>0</v>
      </c>
      <c r="AB22" s="3">
        <v>0</v>
      </c>
      <c r="AC22" s="3">
        <v>0</v>
      </c>
    </row>
    <row r="23" spans="1:29" ht="16" customHeight="1" x14ac:dyDescent="0.2">
      <c r="A23" s="41" t="s">
        <v>17</v>
      </c>
      <c r="B23" s="4">
        <v>86597</v>
      </c>
      <c r="C23" s="4">
        <v>72880</v>
      </c>
      <c r="D23" s="4">
        <v>29760</v>
      </c>
      <c r="E23" s="4">
        <v>4368</v>
      </c>
      <c r="F23" s="4">
        <v>9752</v>
      </c>
      <c r="G23" s="4">
        <v>4332</v>
      </c>
      <c r="H23" s="4">
        <v>2796</v>
      </c>
      <c r="I23" s="4">
        <v>4141</v>
      </c>
      <c r="J23" s="4">
        <v>3047</v>
      </c>
      <c r="K23" s="4">
        <v>1666</v>
      </c>
      <c r="L23" s="3">
        <v>614</v>
      </c>
      <c r="M23" s="3">
        <v>631</v>
      </c>
      <c r="N23" s="3">
        <v>440</v>
      </c>
      <c r="O23" s="3">
        <v>562.5</v>
      </c>
      <c r="P23" s="3">
        <v>581.1</v>
      </c>
      <c r="Q23" s="3">
        <v>253.1</v>
      </c>
      <c r="R23" s="3">
        <v>-67.989999999999995</v>
      </c>
      <c r="S23" s="3">
        <v>-30.04</v>
      </c>
      <c r="T23" s="3">
        <v>797.6</v>
      </c>
      <c r="U23" s="3">
        <v>448.8</v>
      </c>
      <c r="V23" s="3">
        <v>301.2</v>
      </c>
      <c r="W23" s="3">
        <v>88.61</v>
      </c>
      <c r="X23" s="3">
        <v>74.42</v>
      </c>
      <c r="Y23" s="3">
        <v>90.8</v>
      </c>
      <c r="Z23" s="3">
        <v>176.9</v>
      </c>
      <c r="AA23" s="3">
        <v>98.47</v>
      </c>
      <c r="AB23" s="3">
        <v>40.96</v>
      </c>
      <c r="AC23" s="3">
        <v>4.0999999999999996</v>
      </c>
    </row>
    <row r="24" spans="1:29" x14ac:dyDescent="0.2">
      <c r="A24" s="39" t="s">
        <v>231</v>
      </c>
      <c r="B24" s="4">
        <v>3181</v>
      </c>
      <c r="C24" s="4">
        <v>1864</v>
      </c>
      <c r="D24" s="4">
        <v>1508</v>
      </c>
      <c r="E24" s="4">
        <v>1544</v>
      </c>
      <c r="F24" s="4">
        <v>1174</v>
      </c>
      <c r="G24" s="4">
        <v>1098</v>
      </c>
      <c r="H24" s="3">
        <v>381</v>
      </c>
      <c r="I24" s="3">
        <v>262</v>
      </c>
      <c r="J24" s="3">
        <v>199</v>
      </c>
      <c r="K24" s="3">
        <v>187</v>
      </c>
      <c r="L24" s="3">
        <v>197</v>
      </c>
      <c r="M24" s="3">
        <v>220</v>
      </c>
      <c r="N24" s="3">
        <v>239</v>
      </c>
      <c r="O24" s="3">
        <v>226.2</v>
      </c>
      <c r="P24" s="3">
        <v>204.2</v>
      </c>
      <c r="Q24" s="3">
        <v>187</v>
      </c>
      <c r="R24" s="3">
        <v>196.7</v>
      </c>
      <c r="S24" s="3">
        <v>185</v>
      </c>
      <c r="T24" s="3">
        <v>133.19999999999999</v>
      </c>
      <c r="U24" s="3">
        <v>107.6</v>
      </c>
      <c r="V24" s="3">
        <v>97.98</v>
      </c>
      <c r="W24" s="3">
        <v>102.6</v>
      </c>
      <c r="X24" s="3">
        <v>82.69</v>
      </c>
      <c r="Y24" s="3">
        <v>58.22</v>
      </c>
      <c r="Z24" s="3">
        <v>43.5</v>
      </c>
      <c r="AA24" s="3">
        <v>15.84</v>
      </c>
      <c r="AB24" s="3">
        <v>9.67</v>
      </c>
      <c r="AC24" s="3">
        <v>6.5</v>
      </c>
    </row>
    <row r="25" spans="1:29" x14ac:dyDescent="0.2">
      <c r="A25" s="39" t="s">
        <v>2</v>
      </c>
      <c r="B25" s="4">
        <v>99162</v>
      </c>
      <c r="C25" s="4">
        <v>83317</v>
      </c>
      <c r="D25" s="4">
        <v>34480</v>
      </c>
      <c r="E25" s="4">
        <v>5768</v>
      </c>
      <c r="F25" s="4">
        <v>11215</v>
      </c>
      <c r="G25" s="4">
        <v>5630</v>
      </c>
      <c r="H25" s="4">
        <v>3227</v>
      </c>
      <c r="I25" s="4">
        <v>4066</v>
      </c>
      <c r="J25" s="4">
        <v>3409</v>
      </c>
      <c r="K25" s="4">
        <v>2121</v>
      </c>
      <c r="L25" s="3">
        <v>944</v>
      </c>
      <c r="M25" s="3">
        <v>979</v>
      </c>
      <c r="N25" s="3">
        <v>735</v>
      </c>
      <c r="O25" s="3">
        <v>874.5</v>
      </c>
      <c r="P25" s="3">
        <v>852.5</v>
      </c>
      <c r="Q25" s="3">
        <v>442.7</v>
      </c>
      <c r="R25" s="3">
        <v>97.72</v>
      </c>
      <c r="S25" s="3">
        <v>114.3</v>
      </c>
      <c r="T25" s="3">
        <v>969.5</v>
      </c>
      <c r="U25" s="3">
        <v>561</v>
      </c>
      <c r="V25" s="3">
        <v>434.6</v>
      </c>
      <c r="W25" s="3">
        <v>197.8</v>
      </c>
      <c r="X25" s="3">
        <v>172.8</v>
      </c>
      <c r="Y25" s="3">
        <v>202.2</v>
      </c>
      <c r="Z25" s="3">
        <v>285.2</v>
      </c>
      <c r="AA25" s="3">
        <v>144</v>
      </c>
      <c r="AB25" s="3">
        <v>68.28</v>
      </c>
      <c r="AC25" s="3">
        <v>11</v>
      </c>
    </row>
    <row r="26" spans="1:29" x14ac:dyDescent="0.2">
      <c r="A26" s="39" t="s">
        <v>232</v>
      </c>
      <c r="B26" s="3">
        <v>3.54</v>
      </c>
      <c r="C26" s="3">
        <v>2.97</v>
      </c>
      <c r="D26" s="3">
        <v>1.21</v>
      </c>
      <c r="E26" s="3">
        <v>0.18</v>
      </c>
      <c r="F26" s="3">
        <v>0.39</v>
      </c>
      <c r="G26" s="3">
        <v>0.18</v>
      </c>
      <c r="H26" s="3">
        <v>0.12</v>
      </c>
      <c r="I26" s="3">
        <v>0.17</v>
      </c>
      <c r="J26" s="3">
        <v>0.13</v>
      </c>
      <c r="K26" s="3">
        <v>7.6999999999999999E-2</v>
      </c>
      <c r="L26" s="3">
        <v>2.8000000000000001E-2</v>
      </c>
      <c r="M26" s="3">
        <v>2.8000000000000001E-2</v>
      </c>
      <c r="N26" s="3">
        <v>1.9E-2</v>
      </c>
      <c r="O26" s="3">
        <v>2.3E-2</v>
      </c>
      <c r="P26" s="3">
        <v>2.4E-2</v>
      </c>
      <c r="Q26" s="3">
        <v>1.0999999999999999E-2</v>
      </c>
      <c r="R26" s="3">
        <v>-3.0000000000000001E-3</v>
      </c>
      <c r="S26" s="3">
        <v>-1E-3</v>
      </c>
      <c r="T26" s="3">
        <v>3.5999999999999997E-2</v>
      </c>
      <c r="U26" s="3">
        <v>2.1000000000000001E-2</v>
      </c>
      <c r="V26" s="3">
        <v>1.4999999999999999E-2</v>
      </c>
      <c r="W26" s="3">
        <v>4.0000000000000001E-3</v>
      </c>
      <c r="X26" s="3">
        <v>4.0000000000000001E-3</v>
      </c>
      <c r="Y26" s="3">
        <v>5.0000000000000001E-3</v>
      </c>
      <c r="Z26" s="3">
        <v>0.01</v>
      </c>
      <c r="AA26" s="3">
        <v>6.0000000000000001E-3</v>
      </c>
      <c r="AB26" s="3">
        <v>3.0000000000000001E-3</v>
      </c>
      <c r="AC26" s="3">
        <v>0</v>
      </c>
    </row>
    <row r="27" spans="1:29" x14ac:dyDescent="0.2">
      <c r="A27" s="39" t="s">
        <v>233</v>
      </c>
      <c r="B27" s="3">
        <v>3.51</v>
      </c>
      <c r="C27" s="3">
        <v>2.94</v>
      </c>
      <c r="D27" s="3">
        <v>1.19</v>
      </c>
      <c r="E27" s="3">
        <v>0.17</v>
      </c>
      <c r="F27" s="3">
        <v>0.39</v>
      </c>
      <c r="G27" s="3">
        <v>0.17</v>
      </c>
      <c r="H27" s="3">
        <v>0.11</v>
      </c>
      <c r="I27" s="3">
        <v>0.17</v>
      </c>
      <c r="J27" s="3">
        <v>0.12</v>
      </c>
      <c r="K27" s="3">
        <v>6.4000000000000001E-2</v>
      </c>
      <c r="L27" s="3">
        <v>2.7E-2</v>
      </c>
      <c r="M27" s="3">
        <v>2.8000000000000001E-2</v>
      </c>
      <c r="N27" s="3">
        <v>1.9E-2</v>
      </c>
      <c r="O27" s="3">
        <v>2.3E-2</v>
      </c>
      <c r="P27" s="3">
        <v>2.4E-2</v>
      </c>
      <c r="Q27" s="3">
        <v>1.0999999999999999E-2</v>
      </c>
      <c r="R27" s="3">
        <v>-3.0000000000000001E-3</v>
      </c>
      <c r="S27" s="3">
        <v>-1E-3</v>
      </c>
      <c r="T27" s="3">
        <v>3.3000000000000002E-2</v>
      </c>
      <c r="U27" s="3">
        <v>1.9E-2</v>
      </c>
      <c r="V27" s="3">
        <v>1.4E-2</v>
      </c>
      <c r="W27" s="3">
        <v>4.0000000000000001E-3</v>
      </c>
      <c r="X27" s="3">
        <v>4.0000000000000001E-3</v>
      </c>
      <c r="Y27" s="3">
        <v>4.0000000000000001E-3</v>
      </c>
      <c r="Z27" s="3">
        <v>8.9999999999999993E-3</v>
      </c>
      <c r="AA27" s="3">
        <v>5.0000000000000001E-3</v>
      </c>
      <c r="AB27" s="3">
        <v>2E-3</v>
      </c>
      <c r="AC27" s="3">
        <v>0</v>
      </c>
    </row>
    <row r="28" spans="1:29" x14ac:dyDescent="0.2">
      <c r="A28" s="39" t="s">
        <v>234</v>
      </c>
      <c r="B28" s="4">
        <v>24366</v>
      </c>
      <c r="C28" s="4">
        <v>24555</v>
      </c>
      <c r="D28" s="4">
        <v>24690</v>
      </c>
      <c r="E28" s="4">
        <v>24870</v>
      </c>
      <c r="F28" s="4">
        <v>24960</v>
      </c>
      <c r="G28" s="4">
        <v>24680</v>
      </c>
      <c r="H28" s="4">
        <v>24360</v>
      </c>
      <c r="I28" s="4">
        <v>24320</v>
      </c>
      <c r="J28" s="4">
        <v>23960</v>
      </c>
      <c r="K28" s="4">
        <v>21640</v>
      </c>
      <c r="L28" s="4">
        <v>21720</v>
      </c>
      <c r="M28" s="4">
        <v>22093</v>
      </c>
      <c r="N28" s="4">
        <v>23516</v>
      </c>
      <c r="O28" s="4">
        <v>24773</v>
      </c>
      <c r="P28" s="4">
        <v>24146</v>
      </c>
      <c r="Q28" s="4">
        <v>23007</v>
      </c>
      <c r="R28" s="4">
        <v>21983</v>
      </c>
      <c r="S28" s="4">
        <v>21925</v>
      </c>
      <c r="T28" s="4">
        <v>22004</v>
      </c>
      <c r="U28" s="4">
        <v>21134</v>
      </c>
      <c r="V28" s="4">
        <v>20353</v>
      </c>
      <c r="W28" s="4">
        <v>19917</v>
      </c>
      <c r="X28" s="4">
        <v>19301</v>
      </c>
      <c r="Y28" s="4">
        <v>18412</v>
      </c>
      <c r="Z28" s="4">
        <v>17153</v>
      </c>
      <c r="AA28" s="4">
        <v>15712</v>
      </c>
      <c r="AB28" s="4">
        <v>14331</v>
      </c>
      <c r="AC28" s="4">
        <v>14046</v>
      </c>
    </row>
    <row r="29" spans="1:29" x14ac:dyDescent="0.2">
      <c r="A29" s="39" t="s">
        <v>235</v>
      </c>
      <c r="B29" s="4">
        <v>24532</v>
      </c>
      <c r="C29" s="4">
        <v>24804</v>
      </c>
      <c r="D29" s="4">
        <v>24940</v>
      </c>
      <c r="E29" s="4">
        <v>25070</v>
      </c>
      <c r="F29" s="4">
        <v>25350</v>
      </c>
      <c r="G29" s="4">
        <v>25120</v>
      </c>
      <c r="H29" s="4">
        <v>24720</v>
      </c>
      <c r="I29" s="4">
        <v>25000</v>
      </c>
      <c r="J29" s="4">
        <v>25280</v>
      </c>
      <c r="K29" s="4">
        <v>25960</v>
      </c>
      <c r="L29" s="4">
        <v>22760</v>
      </c>
      <c r="M29" s="4">
        <v>22523</v>
      </c>
      <c r="N29" s="4">
        <v>23781</v>
      </c>
      <c r="O29" s="4">
        <v>24998</v>
      </c>
      <c r="P29" s="4">
        <v>24655</v>
      </c>
      <c r="Q29" s="4">
        <v>23547</v>
      </c>
      <c r="R29" s="4">
        <v>21983</v>
      </c>
      <c r="S29" s="4">
        <v>21925</v>
      </c>
      <c r="T29" s="4">
        <v>24269</v>
      </c>
      <c r="U29" s="4">
        <v>23479</v>
      </c>
      <c r="V29" s="4">
        <v>21931</v>
      </c>
      <c r="W29" s="4">
        <v>21176</v>
      </c>
      <c r="X29" s="4">
        <v>20714</v>
      </c>
      <c r="Y29" s="4">
        <v>20197</v>
      </c>
      <c r="Z29" s="4">
        <v>20519</v>
      </c>
      <c r="AA29" s="4">
        <v>19106</v>
      </c>
      <c r="AB29" s="4">
        <v>17318</v>
      </c>
      <c r="AC29" s="4">
        <v>13149</v>
      </c>
    </row>
    <row r="48" ht="16" customHeight="1" x14ac:dyDescent="0.2"/>
    <row r="49" spans="1:28" ht="16" customHeight="1" x14ac:dyDescent="0.2"/>
    <row r="53" spans="1:28" ht="17" customHeight="1" x14ac:dyDescent="0.2"/>
    <row r="54" spans="1:28" ht="17" customHeight="1" x14ac:dyDescent="0.2"/>
    <row r="55" spans="1:28" x14ac:dyDescent="0.2">
      <c r="A55" s="88" t="s">
        <v>220</v>
      </c>
      <c r="B55" s="1">
        <v>2025</v>
      </c>
      <c r="C55" s="1">
        <v>2024</v>
      </c>
      <c r="D55" s="1">
        <v>2023</v>
      </c>
      <c r="E55" s="1">
        <v>2022</v>
      </c>
      <c r="F55" s="1">
        <v>2021</v>
      </c>
      <c r="G55" s="1">
        <v>2020</v>
      </c>
      <c r="H55" s="1">
        <v>2019</v>
      </c>
      <c r="I55" s="1">
        <v>2018</v>
      </c>
      <c r="J55" s="1">
        <v>2017</v>
      </c>
      <c r="K55" s="1">
        <v>2016</v>
      </c>
      <c r="L55" s="1">
        <v>2015</v>
      </c>
      <c r="M55" s="1">
        <v>2014</v>
      </c>
      <c r="N55" s="1">
        <v>2013</v>
      </c>
      <c r="O55" s="1">
        <v>2012</v>
      </c>
      <c r="P55" s="1">
        <v>2011</v>
      </c>
      <c r="Q55" s="1">
        <v>2010</v>
      </c>
      <c r="R55" s="1">
        <v>2009</v>
      </c>
      <c r="S55" s="1">
        <v>2008</v>
      </c>
      <c r="T55" s="1">
        <v>2007</v>
      </c>
      <c r="U55" s="1">
        <v>2006</v>
      </c>
      <c r="V55" s="1">
        <v>2005</v>
      </c>
      <c r="W55" s="1">
        <v>2004</v>
      </c>
      <c r="X55" s="1">
        <v>2003</v>
      </c>
      <c r="Y55" s="1">
        <v>2002</v>
      </c>
      <c r="Z55" s="1">
        <v>2001</v>
      </c>
      <c r="AA55" s="1">
        <v>2000</v>
      </c>
      <c r="AB55" s="1">
        <v>1999</v>
      </c>
    </row>
    <row r="56" spans="1:28" x14ac:dyDescent="0.2">
      <c r="A56" s="88"/>
      <c r="B56" s="38">
        <v>45688</v>
      </c>
      <c r="C56" s="38">
        <v>45688</v>
      </c>
      <c r="D56" s="38">
        <v>45688</v>
      </c>
      <c r="E56" s="38">
        <v>45688</v>
      </c>
      <c r="F56" s="38">
        <v>45688</v>
      </c>
      <c r="G56" s="38">
        <v>45688</v>
      </c>
      <c r="H56" s="38">
        <v>45688</v>
      </c>
      <c r="I56" s="38">
        <v>45688</v>
      </c>
      <c r="J56" s="38">
        <v>45688</v>
      </c>
      <c r="K56" s="38">
        <v>45688</v>
      </c>
      <c r="L56" s="38">
        <v>45688</v>
      </c>
      <c r="M56" s="38">
        <v>45688</v>
      </c>
      <c r="N56" s="38">
        <v>45688</v>
      </c>
      <c r="O56" s="38">
        <v>45688</v>
      </c>
      <c r="P56" s="38">
        <v>45688</v>
      </c>
      <c r="Q56" s="38">
        <v>45688</v>
      </c>
      <c r="R56" s="38">
        <v>45688</v>
      </c>
      <c r="S56" s="38">
        <v>45688</v>
      </c>
      <c r="T56" s="38">
        <v>45688</v>
      </c>
      <c r="U56" s="38">
        <v>45688</v>
      </c>
      <c r="V56" s="38">
        <v>45688</v>
      </c>
      <c r="W56" s="38">
        <v>45688</v>
      </c>
      <c r="X56" s="38">
        <v>45688</v>
      </c>
      <c r="Y56" s="38">
        <v>45688</v>
      </c>
      <c r="Z56" s="38">
        <v>45688</v>
      </c>
      <c r="AA56" s="38">
        <v>45688</v>
      </c>
      <c r="AB56" s="38">
        <v>45688</v>
      </c>
    </row>
    <row r="57" spans="1:28" x14ac:dyDescent="0.2">
      <c r="A57" s="39" t="s">
        <v>236</v>
      </c>
      <c r="B57" s="40">
        <v>45714</v>
      </c>
      <c r="C57" s="40">
        <v>45343</v>
      </c>
      <c r="D57" s="40">
        <v>44981</v>
      </c>
      <c r="E57" s="40">
        <v>44638</v>
      </c>
      <c r="F57" s="40">
        <v>44253</v>
      </c>
      <c r="G57" s="40">
        <v>43881</v>
      </c>
      <c r="H57" s="40">
        <v>43517</v>
      </c>
      <c r="I57" s="40">
        <v>43159</v>
      </c>
      <c r="J57" s="40">
        <v>42795</v>
      </c>
      <c r="K57" s="40">
        <v>42446</v>
      </c>
      <c r="L57" s="40">
        <v>42075</v>
      </c>
      <c r="M57" s="40">
        <v>41711</v>
      </c>
      <c r="N57" s="40">
        <v>41345</v>
      </c>
      <c r="O57" s="40">
        <v>40981</v>
      </c>
      <c r="P57" s="40">
        <v>40618</v>
      </c>
      <c r="Q57" s="40">
        <v>40255</v>
      </c>
      <c r="R57" s="40">
        <v>39885</v>
      </c>
      <c r="S57" s="40">
        <v>39478</v>
      </c>
      <c r="T57" s="40">
        <v>39157</v>
      </c>
      <c r="U57" s="40">
        <v>39050</v>
      </c>
      <c r="V57" s="40">
        <v>38433</v>
      </c>
      <c r="W57" s="40">
        <v>38075</v>
      </c>
      <c r="X57" s="40">
        <v>37736</v>
      </c>
      <c r="Y57" s="40">
        <v>37390</v>
      </c>
      <c r="Z57" s="40">
        <v>37036</v>
      </c>
      <c r="AA57" s="40">
        <v>36598</v>
      </c>
      <c r="AB57" s="40">
        <v>36279</v>
      </c>
    </row>
    <row r="58" spans="1:28" x14ac:dyDescent="0.2">
      <c r="A58" s="39" t="s">
        <v>123</v>
      </c>
      <c r="B58" s="4">
        <v>80126</v>
      </c>
      <c r="C58" s="4">
        <v>44345</v>
      </c>
      <c r="D58" s="4">
        <v>23073</v>
      </c>
      <c r="E58" s="4">
        <v>28829</v>
      </c>
      <c r="F58" s="4">
        <v>16055</v>
      </c>
      <c r="G58" s="4">
        <v>13690</v>
      </c>
      <c r="H58" s="4">
        <v>10557</v>
      </c>
      <c r="I58" s="4">
        <v>9255</v>
      </c>
      <c r="J58" s="4">
        <v>8536</v>
      </c>
      <c r="K58" s="4">
        <v>6053</v>
      </c>
      <c r="L58" s="4">
        <v>5713</v>
      </c>
      <c r="M58" s="4">
        <v>5625</v>
      </c>
      <c r="N58" s="4">
        <v>4775</v>
      </c>
      <c r="O58" s="4">
        <v>3905</v>
      </c>
      <c r="P58" s="4">
        <v>3227</v>
      </c>
      <c r="Q58" s="4">
        <v>2481</v>
      </c>
      <c r="R58" s="4">
        <v>2168</v>
      </c>
      <c r="S58" s="4">
        <v>2889</v>
      </c>
      <c r="T58" s="4">
        <v>2032</v>
      </c>
      <c r="U58" s="4">
        <v>1550</v>
      </c>
      <c r="V58" s="4">
        <v>1305</v>
      </c>
      <c r="W58" s="4">
        <v>1053</v>
      </c>
      <c r="X58" s="4">
        <v>1352</v>
      </c>
      <c r="Y58" s="4">
        <v>1234</v>
      </c>
      <c r="Z58" s="3">
        <v>930.9</v>
      </c>
      <c r="AA58" s="3">
        <v>173.2</v>
      </c>
      <c r="AB58" s="3">
        <v>101.1</v>
      </c>
    </row>
    <row r="59" spans="1:28" x14ac:dyDescent="0.2">
      <c r="A59" s="41" t="s">
        <v>237</v>
      </c>
      <c r="B59" s="4">
        <v>43210</v>
      </c>
      <c r="C59" s="4">
        <v>25984</v>
      </c>
      <c r="D59" s="4">
        <v>13296</v>
      </c>
      <c r="E59" s="4">
        <v>21208</v>
      </c>
      <c r="F59" s="4">
        <v>11561</v>
      </c>
      <c r="G59" s="4">
        <v>10897</v>
      </c>
      <c r="H59" s="4">
        <v>7422</v>
      </c>
      <c r="I59" s="4">
        <v>7108</v>
      </c>
      <c r="J59" s="4">
        <v>6798</v>
      </c>
      <c r="K59" s="4">
        <v>5037</v>
      </c>
      <c r="L59" s="4">
        <v>4623</v>
      </c>
      <c r="M59" s="4">
        <v>4672</v>
      </c>
      <c r="N59" s="4">
        <v>3728</v>
      </c>
      <c r="O59" s="4">
        <v>3130</v>
      </c>
      <c r="P59" s="4">
        <v>2491</v>
      </c>
      <c r="Q59" s="4">
        <v>1728</v>
      </c>
      <c r="R59" s="4">
        <v>1255</v>
      </c>
      <c r="S59" s="4">
        <v>1809</v>
      </c>
      <c r="T59" s="4">
        <v>1118</v>
      </c>
      <c r="U59" s="3">
        <v>950.2</v>
      </c>
      <c r="V59" s="3">
        <v>670</v>
      </c>
      <c r="W59" s="3">
        <v>604</v>
      </c>
      <c r="X59" s="4">
        <v>1028</v>
      </c>
      <c r="Y59" s="3">
        <v>791.4</v>
      </c>
      <c r="Z59" s="3">
        <v>674.3</v>
      </c>
      <c r="AA59" s="3">
        <v>61.56</v>
      </c>
      <c r="AB59" s="3">
        <v>50.3</v>
      </c>
    </row>
    <row r="60" spans="1:28" x14ac:dyDescent="0.2">
      <c r="A60" s="3" t="s">
        <v>11</v>
      </c>
      <c r="B60" s="4">
        <v>8589</v>
      </c>
      <c r="C60" s="4">
        <v>7280</v>
      </c>
      <c r="D60" s="4">
        <v>3389</v>
      </c>
      <c r="E60" s="4">
        <v>1990</v>
      </c>
      <c r="F60" s="3">
        <v>847</v>
      </c>
      <c r="G60" s="4">
        <v>10896</v>
      </c>
      <c r="H60" s="3">
        <v>782</v>
      </c>
      <c r="I60" s="4">
        <v>4002</v>
      </c>
      <c r="J60" s="4">
        <v>1766</v>
      </c>
      <c r="K60" s="3">
        <v>596</v>
      </c>
      <c r="L60" s="3">
        <v>497</v>
      </c>
      <c r="M60" s="4">
        <v>1152</v>
      </c>
      <c r="N60" s="3">
        <v>732.8</v>
      </c>
      <c r="O60" s="3">
        <v>667.9</v>
      </c>
      <c r="P60" s="3">
        <v>665.4</v>
      </c>
      <c r="Q60" s="3">
        <v>447.2</v>
      </c>
      <c r="R60" s="3">
        <v>417.7</v>
      </c>
      <c r="S60" s="3">
        <v>727</v>
      </c>
      <c r="T60" s="3">
        <v>544.4</v>
      </c>
      <c r="U60" s="3">
        <v>551.79999999999995</v>
      </c>
      <c r="V60" s="3">
        <v>208.5</v>
      </c>
      <c r="W60" s="3">
        <v>214.4</v>
      </c>
      <c r="X60" s="3">
        <v>347</v>
      </c>
      <c r="Y60" s="3">
        <v>333</v>
      </c>
      <c r="Z60" s="3">
        <v>674.3</v>
      </c>
      <c r="AA60" s="3">
        <v>61.56</v>
      </c>
      <c r="AB60" s="3">
        <v>50.3</v>
      </c>
    </row>
    <row r="61" spans="1:28" x14ac:dyDescent="0.2">
      <c r="A61" s="3" t="s">
        <v>238</v>
      </c>
      <c r="B61" s="4">
        <v>34621</v>
      </c>
      <c r="C61" s="4">
        <v>18704</v>
      </c>
      <c r="D61" s="4">
        <v>9907</v>
      </c>
      <c r="E61" s="4">
        <v>19218</v>
      </c>
      <c r="F61" s="4">
        <v>10714</v>
      </c>
      <c r="G61" s="3">
        <v>1</v>
      </c>
      <c r="H61" s="4">
        <v>6640</v>
      </c>
      <c r="I61" s="4">
        <v>3106</v>
      </c>
      <c r="J61" s="4">
        <v>5032</v>
      </c>
      <c r="K61" s="4">
        <v>4441</v>
      </c>
      <c r="L61" s="4">
        <v>4126</v>
      </c>
      <c r="M61" s="4">
        <v>3520</v>
      </c>
      <c r="N61" s="4">
        <v>2995</v>
      </c>
      <c r="O61" s="4">
        <v>2462</v>
      </c>
      <c r="P61" s="4">
        <v>1825</v>
      </c>
      <c r="Q61" s="4">
        <v>1281</v>
      </c>
      <c r="R61" s="3">
        <v>837.7</v>
      </c>
      <c r="S61" s="4">
        <v>1083</v>
      </c>
      <c r="T61" s="3">
        <v>573.4</v>
      </c>
      <c r="U61" s="3">
        <v>398.4</v>
      </c>
      <c r="V61" s="3">
        <v>461.5</v>
      </c>
      <c r="W61" s="3">
        <v>389.6</v>
      </c>
      <c r="X61" s="3">
        <v>681.4</v>
      </c>
      <c r="Y61" s="3">
        <v>458.4</v>
      </c>
      <c r="Z61" s="3">
        <v>0</v>
      </c>
      <c r="AA61" s="3">
        <v>0</v>
      </c>
      <c r="AB61" s="3">
        <v>0</v>
      </c>
    </row>
    <row r="62" spans="1:28" x14ac:dyDescent="0.2">
      <c r="A62" s="39" t="s">
        <v>120</v>
      </c>
      <c r="B62" s="4">
        <v>23065</v>
      </c>
      <c r="C62" s="4">
        <v>9999</v>
      </c>
      <c r="D62" s="4">
        <v>3827</v>
      </c>
      <c r="E62" s="4">
        <v>4650</v>
      </c>
      <c r="F62" s="4">
        <v>2429</v>
      </c>
      <c r="G62" s="4">
        <v>1657</v>
      </c>
      <c r="H62" s="4">
        <v>1424</v>
      </c>
      <c r="I62" s="4">
        <v>1265</v>
      </c>
      <c r="J62" s="3">
        <v>826</v>
      </c>
      <c r="K62" s="3">
        <v>505</v>
      </c>
      <c r="L62" s="3">
        <v>474</v>
      </c>
      <c r="M62" s="3">
        <v>426.4</v>
      </c>
      <c r="N62" s="3">
        <v>454.3</v>
      </c>
      <c r="O62" s="3">
        <v>336.1</v>
      </c>
      <c r="P62" s="3">
        <v>348.8</v>
      </c>
      <c r="Q62" s="3">
        <v>375</v>
      </c>
      <c r="R62" s="3">
        <v>318.39999999999998</v>
      </c>
      <c r="S62" s="3">
        <v>666.5</v>
      </c>
      <c r="T62" s="3">
        <v>518.70000000000005</v>
      </c>
      <c r="U62" s="3">
        <v>318.2</v>
      </c>
      <c r="V62" s="3">
        <v>296.3</v>
      </c>
      <c r="W62" s="3">
        <v>196.6</v>
      </c>
      <c r="X62" s="3">
        <v>154.5</v>
      </c>
      <c r="Y62" s="3">
        <v>147.30000000000001</v>
      </c>
      <c r="Z62" s="3">
        <v>105</v>
      </c>
      <c r="AA62" s="3">
        <v>67.22</v>
      </c>
      <c r="AB62" s="3">
        <v>20.6</v>
      </c>
    </row>
    <row r="63" spans="1:28" x14ac:dyDescent="0.2">
      <c r="A63" s="39" t="s">
        <v>121</v>
      </c>
      <c r="B63" s="4">
        <v>10080</v>
      </c>
      <c r="C63" s="4">
        <v>5282</v>
      </c>
      <c r="D63" s="4">
        <v>5159</v>
      </c>
      <c r="E63" s="4">
        <v>2605</v>
      </c>
      <c r="F63" s="4">
        <v>1826</v>
      </c>
      <c r="G63" s="3">
        <v>979</v>
      </c>
      <c r="H63" s="4">
        <v>1575</v>
      </c>
      <c r="I63" s="3">
        <v>796</v>
      </c>
      <c r="J63" s="3">
        <v>794</v>
      </c>
      <c r="K63" s="3">
        <v>418</v>
      </c>
      <c r="L63" s="3">
        <v>483</v>
      </c>
      <c r="M63" s="3">
        <v>387.8</v>
      </c>
      <c r="N63" s="3">
        <v>412.5</v>
      </c>
      <c r="O63" s="3">
        <v>340.3</v>
      </c>
      <c r="P63" s="3">
        <v>345.5</v>
      </c>
      <c r="Q63" s="3">
        <v>330.7</v>
      </c>
      <c r="R63" s="3">
        <v>537.79999999999995</v>
      </c>
      <c r="S63" s="3">
        <v>358.5</v>
      </c>
      <c r="T63" s="3">
        <v>354.7</v>
      </c>
      <c r="U63" s="3">
        <v>254.9</v>
      </c>
      <c r="V63" s="3">
        <v>315.5</v>
      </c>
      <c r="W63" s="3">
        <v>234.2</v>
      </c>
      <c r="X63" s="3">
        <v>145</v>
      </c>
      <c r="Y63" s="3">
        <v>213.9</v>
      </c>
      <c r="Z63" s="3">
        <v>90.38</v>
      </c>
      <c r="AA63" s="3">
        <v>37.630000000000003</v>
      </c>
      <c r="AB63" s="3">
        <v>28.6</v>
      </c>
    </row>
    <row r="64" spans="1:28" x14ac:dyDescent="0.2">
      <c r="A64" s="39" t="s">
        <v>122</v>
      </c>
      <c r="B64" s="4">
        <v>3771</v>
      </c>
      <c r="C64" s="4">
        <v>3080</v>
      </c>
      <c r="D64" s="3">
        <v>791</v>
      </c>
      <c r="E64" s="3">
        <v>366</v>
      </c>
      <c r="F64" s="3">
        <v>239</v>
      </c>
      <c r="G64" s="3">
        <v>157</v>
      </c>
      <c r="H64" s="3">
        <v>136</v>
      </c>
      <c r="I64" s="3">
        <v>86</v>
      </c>
      <c r="J64" s="3">
        <v>118</v>
      </c>
      <c r="K64" s="3">
        <v>93</v>
      </c>
      <c r="L64" s="3">
        <v>133</v>
      </c>
      <c r="M64" s="3">
        <v>138.80000000000001</v>
      </c>
      <c r="N64" s="3">
        <v>180.7</v>
      </c>
      <c r="O64" s="3">
        <v>99.34</v>
      </c>
      <c r="P64" s="3">
        <v>42.09</v>
      </c>
      <c r="Q64" s="3">
        <v>46.97</v>
      </c>
      <c r="R64" s="3">
        <v>56.3</v>
      </c>
      <c r="S64" s="3">
        <v>54.34</v>
      </c>
      <c r="T64" s="3">
        <v>40.56</v>
      </c>
      <c r="U64" s="3">
        <v>27.07</v>
      </c>
      <c r="V64" s="3">
        <v>23.08</v>
      </c>
      <c r="W64" s="3">
        <v>17.8</v>
      </c>
      <c r="X64" s="3">
        <v>23.64</v>
      </c>
      <c r="Y64" s="3">
        <v>81.510000000000005</v>
      </c>
      <c r="Z64" s="3">
        <v>61.24</v>
      </c>
      <c r="AA64" s="3">
        <v>6.76</v>
      </c>
      <c r="AB64" s="3">
        <v>1.6</v>
      </c>
    </row>
    <row r="65" spans="1:28" ht="16" customHeight="1" x14ac:dyDescent="0.2">
      <c r="A65" s="39" t="s">
        <v>126</v>
      </c>
      <c r="B65" s="4">
        <v>111601</v>
      </c>
      <c r="C65" s="4">
        <v>65728</v>
      </c>
      <c r="D65" s="4">
        <v>41182</v>
      </c>
      <c r="E65" s="4">
        <v>44187</v>
      </c>
      <c r="F65" s="4">
        <v>28791</v>
      </c>
      <c r="G65" s="4">
        <v>17315</v>
      </c>
      <c r="H65" s="4">
        <v>13292</v>
      </c>
      <c r="I65" s="4">
        <v>11241</v>
      </c>
      <c r="J65" s="4">
        <v>9841</v>
      </c>
      <c r="K65" s="4">
        <v>7370</v>
      </c>
      <c r="L65" s="4">
        <v>7201</v>
      </c>
      <c r="M65" s="4">
        <v>7251</v>
      </c>
      <c r="N65" s="4">
        <v>6412</v>
      </c>
      <c r="O65" s="4">
        <v>5553</v>
      </c>
      <c r="P65" s="4">
        <v>4495</v>
      </c>
      <c r="Q65" s="4">
        <v>3586</v>
      </c>
      <c r="R65" s="4">
        <v>3351</v>
      </c>
      <c r="S65" s="4">
        <v>3748</v>
      </c>
      <c r="T65" s="4">
        <v>2675</v>
      </c>
      <c r="U65" s="4">
        <v>1955</v>
      </c>
      <c r="V65" s="4">
        <v>1629</v>
      </c>
      <c r="W65" s="4">
        <v>1399</v>
      </c>
      <c r="X65" s="4">
        <v>1617</v>
      </c>
      <c r="Y65" s="4">
        <v>1503</v>
      </c>
      <c r="Z65" s="4">
        <v>1017</v>
      </c>
      <c r="AA65" s="3">
        <v>202.2</v>
      </c>
      <c r="AB65" s="3">
        <v>113.3</v>
      </c>
    </row>
    <row r="66" spans="1:28" ht="16" customHeight="1" x14ac:dyDescent="0.2">
      <c r="A66" s="41" t="s">
        <v>239</v>
      </c>
      <c r="B66" s="4">
        <v>31475</v>
      </c>
      <c r="C66" s="4">
        <v>21383</v>
      </c>
      <c r="D66" s="4">
        <v>18109</v>
      </c>
      <c r="E66" s="4">
        <v>15358</v>
      </c>
      <c r="F66" s="4">
        <v>12736</v>
      </c>
      <c r="G66" s="4">
        <v>3625</v>
      </c>
      <c r="H66" s="4">
        <v>2735</v>
      </c>
      <c r="I66" s="4">
        <v>1986</v>
      </c>
      <c r="J66" s="4">
        <v>1305</v>
      </c>
      <c r="K66" s="4">
        <v>1317</v>
      </c>
      <c r="L66" s="4">
        <v>1488</v>
      </c>
      <c r="M66" s="4">
        <v>1626</v>
      </c>
      <c r="N66" s="4">
        <v>1637</v>
      </c>
      <c r="O66" s="4">
        <v>1648</v>
      </c>
      <c r="P66" s="4">
        <v>1268</v>
      </c>
      <c r="Q66" s="4">
        <v>1105</v>
      </c>
      <c r="R66" s="4">
        <v>1183</v>
      </c>
      <c r="S66" s="3">
        <v>858.8</v>
      </c>
      <c r="T66" s="3">
        <v>643.5</v>
      </c>
      <c r="U66" s="3">
        <v>404.4</v>
      </c>
      <c r="V66" s="3">
        <v>323.60000000000002</v>
      </c>
      <c r="W66" s="3">
        <v>346.6</v>
      </c>
      <c r="X66" s="3">
        <v>265.39999999999998</v>
      </c>
      <c r="Y66" s="3">
        <v>269.10000000000002</v>
      </c>
      <c r="Z66" s="3">
        <v>86.02</v>
      </c>
      <c r="AA66" s="3">
        <v>29.07</v>
      </c>
      <c r="AB66" s="3">
        <v>12.2</v>
      </c>
    </row>
    <row r="67" spans="1:28" x14ac:dyDescent="0.2">
      <c r="A67" s="3" t="s">
        <v>240</v>
      </c>
      <c r="B67" s="4">
        <v>8076</v>
      </c>
      <c r="C67" s="4">
        <v>5260</v>
      </c>
      <c r="D67" s="4">
        <v>4845</v>
      </c>
      <c r="E67" s="4">
        <v>3607</v>
      </c>
      <c r="F67" s="4">
        <v>2856</v>
      </c>
      <c r="G67" s="4">
        <v>2292</v>
      </c>
      <c r="H67" s="4">
        <v>1404</v>
      </c>
      <c r="I67" s="3">
        <v>997</v>
      </c>
      <c r="J67" s="3">
        <v>521</v>
      </c>
      <c r="K67" s="3">
        <v>466</v>
      </c>
      <c r="L67" s="3">
        <v>557</v>
      </c>
      <c r="M67" s="3">
        <v>582.70000000000005</v>
      </c>
      <c r="N67" s="3">
        <v>576.1</v>
      </c>
      <c r="O67" s="3">
        <v>560.1</v>
      </c>
      <c r="P67" s="3">
        <v>568.9</v>
      </c>
      <c r="Q67" s="3">
        <v>571.9</v>
      </c>
      <c r="R67" s="3">
        <v>625.79999999999995</v>
      </c>
      <c r="S67" s="3">
        <v>359.8</v>
      </c>
      <c r="T67" s="3">
        <v>260.8</v>
      </c>
      <c r="U67" s="3">
        <v>178.2</v>
      </c>
      <c r="V67" s="3">
        <v>179</v>
      </c>
      <c r="W67" s="3">
        <v>190</v>
      </c>
      <c r="X67" s="3">
        <v>135.19999999999999</v>
      </c>
      <c r="Y67" s="3">
        <v>120.1</v>
      </c>
      <c r="Z67" s="3">
        <v>47.28</v>
      </c>
      <c r="AA67" s="3">
        <v>25.89</v>
      </c>
      <c r="AB67" s="3">
        <v>11.7</v>
      </c>
    </row>
    <row r="68" spans="1:28" x14ac:dyDescent="0.2">
      <c r="A68" s="42" t="s">
        <v>241</v>
      </c>
      <c r="B68" s="4">
        <v>5995</v>
      </c>
      <c r="C68" s="4">
        <v>5542</v>
      </c>
      <c r="D68" s="4">
        <v>6048</v>
      </c>
      <c r="E68" s="4">
        <v>6688</v>
      </c>
      <c r="F68" s="4">
        <v>6930</v>
      </c>
      <c r="G68" s="3">
        <v>667</v>
      </c>
      <c r="H68" s="3">
        <v>663</v>
      </c>
      <c r="I68" s="3">
        <v>670</v>
      </c>
      <c r="J68" s="3">
        <v>722</v>
      </c>
      <c r="K68" s="3">
        <v>784</v>
      </c>
      <c r="L68" s="3">
        <v>840</v>
      </c>
      <c r="M68" s="3">
        <v>939.2</v>
      </c>
      <c r="N68" s="3">
        <v>953.4</v>
      </c>
      <c r="O68" s="3">
        <v>967.2</v>
      </c>
      <c r="P68" s="3">
        <v>658.6</v>
      </c>
      <c r="Q68" s="3">
        <v>490.3</v>
      </c>
      <c r="R68" s="3">
        <v>516.9</v>
      </c>
      <c r="S68" s="3">
        <v>461</v>
      </c>
      <c r="T68" s="3">
        <v>346.9</v>
      </c>
      <c r="U68" s="3">
        <v>160.69999999999999</v>
      </c>
      <c r="V68" s="3">
        <v>135.6</v>
      </c>
      <c r="W68" s="3">
        <v>148.9</v>
      </c>
      <c r="X68" s="3">
        <v>76.47</v>
      </c>
      <c r="Y68" s="3">
        <v>81.12</v>
      </c>
      <c r="Z68" s="3">
        <v>23.8</v>
      </c>
      <c r="AA68" s="3">
        <v>0</v>
      </c>
      <c r="AB68" s="3">
        <v>0</v>
      </c>
    </row>
    <row r="69" spans="1:28" x14ac:dyDescent="0.2">
      <c r="A69" s="3" t="s">
        <v>192</v>
      </c>
      <c r="B69" s="4">
        <v>5188</v>
      </c>
      <c r="C69" s="4">
        <v>4430</v>
      </c>
      <c r="D69" s="4">
        <v>4372</v>
      </c>
      <c r="E69" s="4">
        <v>4349</v>
      </c>
      <c r="F69" s="4">
        <v>4193</v>
      </c>
      <c r="G69" s="3">
        <v>618</v>
      </c>
      <c r="H69" s="3">
        <v>618</v>
      </c>
      <c r="I69" s="3">
        <v>618</v>
      </c>
      <c r="J69" s="3">
        <v>618</v>
      </c>
      <c r="K69" s="3">
        <v>618</v>
      </c>
      <c r="L69" s="3">
        <v>618</v>
      </c>
      <c r="M69" s="3">
        <v>643.20000000000005</v>
      </c>
      <c r="N69" s="3">
        <v>641</v>
      </c>
      <c r="O69" s="3">
        <v>641</v>
      </c>
      <c r="P69" s="3">
        <v>369.8</v>
      </c>
      <c r="Q69" s="3">
        <v>369.8</v>
      </c>
      <c r="R69" s="3">
        <v>369.8</v>
      </c>
      <c r="S69" s="3">
        <v>354.1</v>
      </c>
      <c r="T69" s="3">
        <v>301.39999999999998</v>
      </c>
      <c r="U69" s="3">
        <v>145.30000000000001</v>
      </c>
      <c r="V69" s="3">
        <v>0</v>
      </c>
      <c r="W69" s="3">
        <v>0</v>
      </c>
      <c r="X69" s="3">
        <v>0</v>
      </c>
      <c r="Y69" s="3">
        <v>81.12</v>
      </c>
      <c r="Z69" s="3">
        <v>23.8</v>
      </c>
      <c r="AA69" s="3">
        <v>0</v>
      </c>
      <c r="AB69" s="3">
        <v>0</v>
      </c>
    </row>
    <row r="70" spans="1:28" x14ac:dyDescent="0.2">
      <c r="A70" s="3" t="s">
        <v>242</v>
      </c>
      <c r="B70" s="3">
        <v>807</v>
      </c>
      <c r="C70" s="4">
        <v>1112</v>
      </c>
      <c r="D70" s="4">
        <v>1676</v>
      </c>
      <c r="E70" s="4">
        <v>2339</v>
      </c>
      <c r="F70" s="4">
        <v>2737</v>
      </c>
      <c r="G70" s="3">
        <v>49</v>
      </c>
      <c r="H70" s="3">
        <v>45</v>
      </c>
      <c r="I70" s="3">
        <v>52</v>
      </c>
      <c r="J70" s="3">
        <v>104</v>
      </c>
      <c r="K70" s="3">
        <v>166</v>
      </c>
      <c r="L70" s="3">
        <v>222</v>
      </c>
      <c r="M70" s="3">
        <v>296</v>
      </c>
      <c r="N70" s="3">
        <v>312.3</v>
      </c>
      <c r="O70" s="3">
        <v>326.10000000000002</v>
      </c>
      <c r="P70" s="3">
        <v>288.7</v>
      </c>
      <c r="Q70" s="3">
        <v>120.5</v>
      </c>
      <c r="R70" s="3">
        <v>147.1</v>
      </c>
      <c r="S70" s="3">
        <v>106.9</v>
      </c>
      <c r="T70" s="3">
        <v>45.51</v>
      </c>
      <c r="U70" s="3">
        <v>15.42</v>
      </c>
      <c r="V70" s="3">
        <v>135.6</v>
      </c>
      <c r="W70" s="3">
        <v>148.9</v>
      </c>
      <c r="X70" s="3">
        <v>76.47</v>
      </c>
      <c r="Y70" s="3">
        <v>0</v>
      </c>
      <c r="Z70" s="3">
        <v>0</v>
      </c>
      <c r="AA70" s="3">
        <v>0</v>
      </c>
      <c r="AB70" s="3">
        <v>0</v>
      </c>
    </row>
    <row r="71" spans="1:28" x14ac:dyDescent="0.2">
      <c r="A71" s="3" t="s">
        <v>243</v>
      </c>
      <c r="B71" s="4">
        <v>3387</v>
      </c>
      <c r="C71" s="4">
        <v>1321</v>
      </c>
      <c r="D71" s="3">
        <v>299</v>
      </c>
      <c r="E71" s="3">
        <v>266</v>
      </c>
      <c r="F71" s="3">
        <v>144</v>
      </c>
      <c r="G71" s="3">
        <v>77</v>
      </c>
      <c r="H71" s="3">
        <v>0</v>
      </c>
      <c r="I71" s="3">
        <v>0</v>
      </c>
      <c r="J71" s="3">
        <v>0</v>
      </c>
      <c r="K71" s="3">
        <v>0</v>
      </c>
      <c r="L71" s="3">
        <v>0</v>
      </c>
      <c r="M71" s="3">
        <v>0</v>
      </c>
      <c r="N71" s="3">
        <v>10.029999999999999</v>
      </c>
      <c r="O71" s="3">
        <v>10.38</v>
      </c>
      <c r="P71" s="3">
        <v>8.7899999999999991</v>
      </c>
      <c r="Q71" s="3">
        <v>6.63</v>
      </c>
      <c r="R71" s="3">
        <v>6.41</v>
      </c>
      <c r="S71" s="3">
        <v>0</v>
      </c>
      <c r="T71" s="3">
        <v>0</v>
      </c>
      <c r="U71" s="3">
        <v>0</v>
      </c>
      <c r="V71" s="3">
        <v>0</v>
      </c>
      <c r="W71" s="3">
        <v>0</v>
      </c>
      <c r="X71" s="3">
        <v>0</v>
      </c>
      <c r="Y71" s="3">
        <v>0</v>
      </c>
      <c r="Z71" s="3">
        <v>0</v>
      </c>
      <c r="AA71" s="3">
        <v>0</v>
      </c>
      <c r="AB71" s="3">
        <v>0</v>
      </c>
    </row>
    <row r="72" spans="1:28" x14ac:dyDescent="0.2">
      <c r="A72" s="3" t="s">
        <v>244</v>
      </c>
      <c r="B72" s="4">
        <v>10979</v>
      </c>
      <c r="C72" s="4">
        <v>6081</v>
      </c>
      <c r="D72" s="4">
        <v>3396</v>
      </c>
      <c r="E72" s="4">
        <v>1222</v>
      </c>
      <c r="F72" s="3">
        <v>806</v>
      </c>
      <c r="G72" s="3">
        <v>548</v>
      </c>
      <c r="H72" s="3">
        <v>560</v>
      </c>
      <c r="I72" s="3">
        <v>245</v>
      </c>
      <c r="J72" s="3">
        <v>0</v>
      </c>
      <c r="K72" s="3">
        <v>0</v>
      </c>
      <c r="L72" s="3">
        <v>0</v>
      </c>
      <c r="M72" s="3">
        <v>0</v>
      </c>
      <c r="N72" s="3">
        <v>3.53</v>
      </c>
      <c r="O72" s="3">
        <v>7.46</v>
      </c>
      <c r="P72" s="3">
        <v>0.85099999999999998</v>
      </c>
      <c r="Q72" s="3">
        <v>0</v>
      </c>
      <c r="R72" s="3">
        <v>0</v>
      </c>
      <c r="S72" s="3">
        <v>0</v>
      </c>
      <c r="T72" s="3">
        <v>7.38</v>
      </c>
      <c r="U72" s="3">
        <v>38.020000000000003</v>
      </c>
      <c r="V72" s="3">
        <v>0</v>
      </c>
      <c r="W72" s="3">
        <v>0</v>
      </c>
      <c r="X72" s="3">
        <v>43.32</v>
      </c>
      <c r="Y72" s="3">
        <v>55.92</v>
      </c>
      <c r="Z72" s="3">
        <v>4.03</v>
      </c>
      <c r="AA72" s="3">
        <v>0</v>
      </c>
      <c r="AB72" s="3">
        <v>0</v>
      </c>
    </row>
    <row r="73" spans="1:28" x14ac:dyDescent="0.2">
      <c r="A73" s="3" t="s">
        <v>245</v>
      </c>
      <c r="B73" s="4">
        <v>3038</v>
      </c>
      <c r="C73" s="4">
        <v>3179</v>
      </c>
      <c r="D73" s="4">
        <v>3521</v>
      </c>
      <c r="E73" s="4">
        <v>3575</v>
      </c>
      <c r="F73" s="4">
        <v>2000</v>
      </c>
      <c r="G73" s="3">
        <v>41</v>
      </c>
      <c r="H73" s="3">
        <v>108</v>
      </c>
      <c r="I73" s="3">
        <v>74</v>
      </c>
      <c r="J73" s="3">
        <v>62</v>
      </c>
      <c r="K73" s="3">
        <v>67</v>
      </c>
      <c r="L73" s="3">
        <v>91</v>
      </c>
      <c r="M73" s="3">
        <v>104.3</v>
      </c>
      <c r="N73" s="3">
        <v>93.92</v>
      </c>
      <c r="O73" s="3">
        <v>102.5</v>
      </c>
      <c r="P73" s="3">
        <v>31.21</v>
      </c>
      <c r="Q73" s="3">
        <v>36.299999999999997</v>
      </c>
      <c r="R73" s="3">
        <v>33.61</v>
      </c>
      <c r="S73" s="3">
        <v>38.049999999999997</v>
      </c>
      <c r="T73" s="3">
        <v>28.35</v>
      </c>
      <c r="U73" s="3">
        <v>27.48</v>
      </c>
      <c r="V73" s="3">
        <v>9.0299999999999994</v>
      </c>
      <c r="W73" s="3">
        <v>7.73</v>
      </c>
      <c r="X73" s="3">
        <v>10.47</v>
      </c>
      <c r="Y73" s="3">
        <v>11.9</v>
      </c>
      <c r="Z73" s="3">
        <v>10.91</v>
      </c>
      <c r="AA73" s="3">
        <v>3.19</v>
      </c>
      <c r="AB73" s="3">
        <v>0.5</v>
      </c>
    </row>
    <row r="74" spans="1:28" x14ac:dyDescent="0.2">
      <c r="A74" s="39" t="s">
        <v>131</v>
      </c>
      <c r="B74" s="4">
        <v>18047</v>
      </c>
      <c r="C74" s="4">
        <v>10631</v>
      </c>
      <c r="D74" s="4">
        <v>6563</v>
      </c>
      <c r="E74" s="4">
        <v>4335</v>
      </c>
      <c r="F74" s="4">
        <v>3925</v>
      </c>
      <c r="G74" s="4">
        <v>1784</v>
      </c>
      <c r="H74" s="4">
        <v>1329</v>
      </c>
      <c r="I74" s="4">
        <v>1153</v>
      </c>
      <c r="J74" s="4">
        <v>1819</v>
      </c>
      <c r="K74" s="4">
        <v>2438</v>
      </c>
      <c r="L74" s="3">
        <v>896</v>
      </c>
      <c r="M74" s="3">
        <v>945.5</v>
      </c>
      <c r="N74" s="3">
        <v>976.2</v>
      </c>
      <c r="O74" s="3">
        <v>930</v>
      </c>
      <c r="P74" s="3">
        <v>942.7</v>
      </c>
      <c r="Q74" s="3">
        <v>784.4</v>
      </c>
      <c r="R74" s="3">
        <v>778.6</v>
      </c>
      <c r="S74" s="3">
        <v>967.2</v>
      </c>
      <c r="T74" s="3">
        <v>638.79999999999995</v>
      </c>
      <c r="U74" s="3">
        <v>438.7</v>
      </c>
      <c r="V74" s="3">
        <v>421.2</v>
      </c>
      <c r="W74" s="3">
        <v>334.1</v>
      </c>
      <c r="X74" s="3">
        <v>379.4</v>
      </c>
      <c r="Y74" s="3">
        <v>433.5</v>
      </c>
      <c r="Z74" s="3">
        <v>309.39999999999998</v>
      </c>
      <c r="AA74" s="3">
        <v>76.22</v>
      </c>
      <c r="AB74" s="3">
        <v>47.1</v>
      </c>
    </row>
    <row r="75" spans="1:28" x14ac:dyDescent="0.2">
      <c r="A75" s="39" t="s">
        <v>127</v>
      </c>
      <c r="B75" s="4">
        <v>6310</v>
      </c>
      <c r="C75" s="4">
        <v>2699</v>
      </c>
      <c r="D75" s="4">
        <v>1193</v>
      </c>
      <c r="E75" s="4">
        <v>1783</v>
      </c>
      <c r="F75" s="4">
        <v>1149</v>
      </c>
      <c r="G75" s="3">
        <v>687</v>
      </c>
      <c r="H75" s="3">
        <v>511</v>
      </c>
      <c r="I75" s="3">
        <v>596</v>
      </c>
      <c r="J75" s="3">
        <v>485</v>
      </c>
      <c r="K75" s="3">
        <v>296</v>
      </c>
      <c r="L75" s="3">
        <v>293</v>
      </c>
      <c r="M75" s="3">
        <v>324.39999999999998</v>
      </c>
      <c r="N75" s="3">
        <v>356.4</v>
      </c>
      <c r="O75" s="3">
        <v>335.1</v>
      </c>
      <c r="P75" s="3">
        <v>286.10000000000002</v>
      </c>
      <c r="Q75" s="3">
        <v>344.5</v>
      </c>
      <c r="R75" s="3">
        <v>218.9</v>
      </c>
      <c r="S75" s="3">
        <v>492.1</v>
      </c>
      <c r="T75" s="3">
        <v>272.10000000000002</v>
      </c>
      <c r="U75" s="3">
        <v>179.4</v>
      </c>
      <c r="V75" s="3">
        <v>238.2</v>
      </c>
      <c r="W75" s="3">
        <v>185.3</v>
      </c>
      <c r="X75" s="3">
        <v>141.1</v>
      </c>
      <c r="Y75" s="3">
        <v>214</v>
      </c>
      <c r="Z75" s="3">
        <v>72.3</v>
      </c>
      <c r="AA75" s="3">
        <v>64.91</v>
      </c>
      <c r="AB75" s="3">
        <v>35.700000000000003</v>
      </c>
    </row>
    <row r="76" spans="1:28" x14ac:dyDescent="0.2">
      <c r="A76" s="39" t="s">
        <v>246</v>
      </c>
      <c r="B76" s="3">
        <v>288</v>
      </c>
      <c r="C76" s="4">
        <v>1478</v>
      </c>
      <c r="D76" s="4">
        <v>1426</v>
      </c>
      <c r="E76" s="3">
        <v>144</v>
      </c>
      <c r="F76" s="4">
        <v>1120</v>
      </c>
      <c r="G76" s="3">
        <v>91</v>
      </c>
      <c r="H76" s="3">
        <v>0</v>
      </c>
      <c r="I76" s="3">
        <v>15</v>
      </c>
      <c r="J76" s="3">
        <v>827</v>
      </c>
      <c r="K76" s="4">
        <v>1500</v>
      </c>
      <c r="L76" s="3">
        <v>0</v>
      </c>
      <c r="M76" s="3">
        <v>0</v>
      </c>
      <c r="N76" s="3">
        <v>0</v>
      </c>
      <c r="O76" s="3">
        <v>0</v>
      </c>
      <c r="P76" s="3">
        <v>0</v>
      </c>
      <c r="Q76" s="3">
        <v>0</v>
      </c>
      <c r="R76" s="3">
        <v>0</v>
      </c>
      <c r="S76" s="3">
        <v>0</v>
      </c>
      <c r="T76" s="3">
        <v>0</v>
      </c>
      <c r="U76" s="3">
        <v>0</v>
      </c>
      <c r="V76" s="3">
        <v>0.85599999999999998</v>
      </c>
      <c r="W76" s="3">
        <v>4.01</v>
      </c>
      <c r="X76" s="3">
        <v>5.68</v>
      </c>
      <c r="Y76" s="3">
        <v>3.9</v>
      </c>
      <c r="Z76" s="3">
        <v>0.58799999999999997</v>
      </c>
      <c r="AA76" s="3">
        <v>1.79</v>
      </c>
      <c r="AB76" s="3">
        <v>6.4</v>
      </c>
    </row>
    <row r="77" spans="1:28" x14ac:dyDescent="0.2">
      <c r="A77" s="39" t="s">
        <v>247</v>
      </c>
      <c r="B77" s="3">
        <v>0</v>
      </c>
      <c r="C77" s="3">
        <v>296</v>
      </c>
      <c r="D77" s="3">
        <v>467</v>
      </c>
      <c r="E77" s="3">
        <v>132</v>
      </c>
      <c r="F77" s="3">
        <v>61</v>
      </c>
      <c r="G77" s="3">
        <v>61</v>
      </c>
      <c r="H77" s="3">
        <v>91</v>
      </c>
      <c r="I77" s="3">
        <v>33</v>
      </c>
      <c r="J77" s="3">
        <v>4</v>
      </c>
      <c r="K77" s="3">
        <v>2</v>
      </c>
      <c r="L77" s="3">
        <v>2.81</v>
      </c>
      <c r="M77" s="3">
        <v>2.38</v>
      </c>
      <c r="N77" s="3">
        <v>3.17</v>
      </c>
      <c r="O77" s="3">
        <v>6.94</v>
      </c>
      <c r="P77" s="3">
        <v>4.58</v>
      </c>
      <c r="Q77" s="3">
        <v>0</v>
      </c>
      <c r="R77" s="3">
        <v>0</v>
      </c>
      <c r="S77" s="3">
        <v>0</v>
      </c>
      <c r="T77" s="3">
        <v>0</v>
      </c>
      <c r="U77" s="3">
        <v>0</v>
      </c>
      <c r="V77" s="3">
        <v>0</v>
      </c>
      <c r="W77" s="3">
        <v>0</v>
      </c>
      <c r="X77" s="3">
        <v>0</v>
      </c>
      <c r="Y77" s="3">
        <v>0</v>
      </c>
      <c r="Z77" s="3">
        <v>0</v>
      </c>
      <c r="AA77" s="3">
        <v>0</v>
      </c>
      <c r="AB77" s="3">
        <v>0</v>
      </c>
    </row>
    <row r="78" spans="1:28" x14ac:dyDescent="0.2">
      <c r="A78" s="39" t="s">
        <v>248</v>
      </c>
      <c r="B78" s="3">
        <v>837</v>
      </c>
      <c r="C78" s="3">
        <v>764</v>
      </c>
      <c r="D78" s="3">
        <v>354</v>
      </c>
      <c r="E78" s="3">
        <v>300</v>
      </c>
      <c r="F78" s="3">
        <v>288</v>
      </c>
      <c r="G78" s="3">
        <v>141</v>
      </c>
      <c r="H78" s="3">
        <v>92</v>
      </c>
      <c r="I78" s="3">
        <v>53</v>
      </c>
      <c r="J78" s="3">
        <v>85</v>
      </c>
      <c r="K78" s="3">
        <v>322</v>
      </c>
      <c r="L78" s="3">
        <v>296</v>
      </c>
      <c r="M78" s="3">
        <v>268.8</v>
      </c>
      <c r="N78" s="3">
        <v>282.7</v>
      </c>
      <c r="O78" s="3">
        <v>270.60000000000002</v>
      </c>
      <c r="P78" s="3">
        <v>245.6</v>
      </c>
      <c r="Q78" s="3">
        <v>19.62</v>
      </c>
      <c r="R78" s="3">
        <v>15.42</v>
      </c>
      <c r="S78" s="3">
        <v>5.86</v>
      </c>
      <c r="T78" s="3">
        <v>1.18</v>
      </c>
      <c r="U78" s="3">
        <v>0.217</v>
      </c>
      <c r="V78" s="3">
        <v>11.5</v>
      </c>
      <c r="W78" s="3">
        <v>0</v>
      </c>
      <c r="X78" s="3">
        <v>0</v>
      </c>
      <c r="Y78" s="3">
        <v>70.19</v>
      </c>
      <c r="Z78" s="3">
        <v>200</v>
      </c>
      <c r="AA78" s="3">
        <v>0</v>
      </c>
      <c r="AB78" s="3">
        <v>0</v>
      </c>
    </row>
    <row r="79" spans="1:28" x14ac:dyDescent="0.2">
      <c r="A79" s="39" t="s">
        <v>130</v>
      </c>
      <c r="B79" s="4">
        <v>10612</v>
      </c>
      <c r="C79" s="4">
        <v>5394</v>
      </c>
      <c r="D79" s="4">
        <v>3123</v>
      </c>
      <c r="E79" s="4">
        <v>1976</v>
      </c>
      <c r="F79" s="4">
        <v>1307</v>
      </c>
      <c r="G79" s="3">
        <v>804</v>
      </c>
      <c r="H79" s="3">
        <v>635</v>
      </c>
      <c r="I79" s="3">
        <v>456</v>
      </c>
      <c r="J79" s="3">
        <v>418</v>
      </c>
      <c r="K79" s="3">
        <v>318</v>
      </c>
      <c r="L79" s="3">
        <v>304.2</v>
      </c>
      <c r="M79" s="3">
        <v>349.9</v>
      </c>
      <c r="N79" s="3">
        <v>333.9</v>
      </c>
      <c r="O79" s="3">
        <v>317.3</v>
      </c>
      <c r="P79" s="3">
        <v>406.4</v>
      </c>
      <c r="Q79" s="3">
        <v>420.2</v>
      </c>
      <c r="R79" s="3">
        <v>544.29999999999995</v>
      </c>
      <c r="S79" s="3">
        <v>469.2</v>
      </c>
      <c r="T79" s="3">
        <v>365.6</v>
      </c>
      <c r="U79" s="3">
        <v>259</v>
      </c>
      <c r="V79" s="3">
        <v>170.6</v>
      </c>
      <c r="W79" s="3">
        <v>144.80000000000001</v>
      </c>
      <c r="X79" s="3">
        <v>232.6</v>
      </c>
      <c r="Y79" s="3">
        <v>145.4</v>
      </c>
      <c r="Z79" s="3">
        <v>36.53</v>
      </c>
      <c r="AA79" s="3">
        <v>9.5299999999999994</v>
      </c>
      <c r="AB79" s="3">
        <v>5</v>
      </c>
    </row>
    <row r="80" spans="1:28" x14ac:dyDescent="0.2">
      <c r="A80" s="39" t="s">
        <v>135</v>
      </c>
      <c r="B80" s="4">
        <v>32274</v>
      </c>
      <c r="C80" s="4">
        <v>22750</v>
      </c>
      <c r="D80" s="4">
        <v>19081</v>
      </c>
      <c r="E80" s="4">
        <v>17575</v>
      </c>
      <c r="F80" s="4">
        <v>11898</v>
      </c>
      <c r="G80" s="4">
        <v>5111</v>
      </c>
      <c r="H80" s="4">
        <v>3950</v>
      </c>
      <c r="I80" s="4">
        <v>3770</v>
      </c>
      <c r="J80" s="4">
        <v>4079</v>
      </c>
      <c r="K80" s="4">
        <v>2901</v>
      </c>
      <c r="L80" s="4">
        <v>2783</v>
      </c>
      <c r="M80" s="4">
        <v>2794</v>
      </c>
      <c r="N80" s="4">
        <v>1585</v>
      </c>
      <c r="O80" s="4">
        <v>1407</v>
      </c>
      <c r="P80" s="4">
        <v>1314</v>
      </c>
      <c r="Q80" s="3">
        <v>920.8</v>
      </c>
      <c r="R80" s="3">
        <v>956.1</v>
      </c>
      <c r="S80" s="4">
        <v>1130</v>
      </c>
      <c r="T80" s="3">
        <v>668.3</v>
      </c>
      <c r="U80" s="3">
        <v>458.7</v>
      </c>
      <c r="V80" s="3">
        <v>450.3</v>
      </c>
      <c r="W80" s="3">
        <v>348.2</v>
      </c>
      <c r="X80" s="3">
        <v>684.3</v>
      </c>
      <c r="Y80" s="3">
        <v>739.4</v>
      </c>
      <c r="Z80" s="3">
        <v>609.79999999999995</v>
      </c>
      <c r="AA80" s="3">
        <v>77.69</v>
      </c>
      <c r="AB80" s="3">
        <v>49.1</v>
      </c>
    </row>
    <row r="81" spans="1:28" ht="16" customHeight="1" x14ac:dyDescent="0.2">
      <c r="A81" s="41" t="s">
        <v>249</v>
      </c>
      <c r="B81" s="4">
        <v>14227</v>
      </c>
      <c r="C81" s="4">
        <v>12119</v>
      </c>
      <c r="D81" s="4">
        <v>12518</v>
      </c>
      <c r="E81" s="4">
        <v>13240</v>
      </c>
      <c r="F81" s="4">
        <v>7973</v>
      </c>
      <c r="G81" s="4">
        <v>3327</v>
      </c>
      <c r="H81" s="4">
        <v>2621</v>
      </c>
      <c r="I81" s="4">
        <v>2617</v>
      </c>
      <c r="J81" s="4">
        <v>2260</v>
      </c>
      <c r="K81" s="3">
        <v>463</v>
      </c>
      <c r="L81" s="4">
        <v>1887</v>
      </c>
      <c r="M81" s="4">
        <v>1849</v>
      </c>
      <c r="N81" s="3">
        <v>608.29999999999995</v>
      </c>
      <c r="O81" s="3">
        <v>477.2</v>
      </c>
      <c r="P81" s="3">
        <v>371.1</v>
      </c>
      <c r="Q81" s="3">
        <v>136.4</v>
      </c>
      <c r="R81" s="3">
        <v>177.5</v>
      </c>
      <c r="S81" s="3">
        <v>162.6</v>
      </c>
      <c r="T81" s="3">
        <v>29.54</v>
      </c>
      <c r="U81" s="3">
        <v>20.04</v>
      </c>
      <c r="V81" s="3">
        <v>29.11</v>
      </c>
      <c r="W81" s="3">
        <v>14.05</v>
      </c>
      <c r="X81" s="3">
        <v>304.89999999999998</v>
      </c>
      <c r="Y81" s="3">
        <v>305.89999999999998</v>
      </c>
      <c r="Z81" s="3">
        <v>300.39999999999998</v>
      </c>
      <c r="AA81" s="3">
        <v>1.46</v>
      </c>
      <c r="AB81" s="3">
        <v>2</v>
      </c>
    </row>
    <row r="82" spans="1:28" ht="16" customHeight="1" x14ac:dyDescent="0.2">
      <c r="A82" s="3" t="s">
        <v>250</v>
      </c>
      <c r="B82" s="4">
        <v>9982</v>
      </c>
      <c r="C82" s="4">
        <v>9578</v>
      </c>
      <c r="D82" s="4">
        <v>10605</v>
      </c>
      <c r="E82" s="4">
        <v>11687</v>
      </c>
      <c r="F82" s="4">
        <v>6598</v>
      </c>
      <c r="G82" s="4">
        <v>2552</v>
      </c>
      <c r="H82" s="4">
        <v>1988</v>
      </c>
      <c r="I82" s="4">
        <v>1985</v>
      </c>
      <c r="J82" s="4">
        <v>1989</v>
      </c>
      <c r="K82" s="3">
        <v>10</v>
      </c>
      <c r="L82" s="4">
        <v>1398</v>
      </c>
      <c r="M82" s="4">
        <v>1374</v>
      </c>
      <c r="N82" s="3">
        <v>19</v>
      </c>
      <c r="O82" s="3">
        <v>21.44</v>
      </c>
      <c r="P82" s="3">
        <v>23.39</v>
      </c>
      <c r="Q82" s="3">
        <v>24.45</v>
      </c>
      <c r="R82" s="3">
        <v>25.63</v>
      </c>
      <c r="S82" s="3">
        <v>0</v>
      </c>
      <c r="T82" s="3">
        <v>0</v>
      </c>
      <c r="U82" s="3">
        <v>0</v>
      </c>
      <c r="V82" s="3">
        <v>0</v>
      </c>
      <c r="W82" s="3">
        <v>0.85599999999999998</v>
      </c>
      <c r="X82" s="3">
        <v>304.89999999999998</v>
      </c>
      <c r="Y82" s="3">
        <v>305.89999999999998</v>
      </c>
      <c r="Z82" s="3">
        <v>300.39999999999998</v>
      </c>
      <c r="AA82" s="3">
        <v>1.46</v>
      </c>
      <c r="AB82" s="3">
        <v>2</v>
      </c>
    </row>
    <row r="83" spans="1:28" x14ac:dyDescent="0.2">
      <c r="A83" s="3" t="s">
        <v>251</v>
      </c>
      <c r="B83" s="3">
        <v>886</v>
      </c>
      <c r="C83" s="3">
        <v>462</v>
      </c>
      <c r="D83" s="3">
        <v>247</v>
      </c>
      <c r="E83" s="3">
        <v>245</v>
      </c>
      <c r="F83" s="3">
        <v>241</v>
      </c>
      <c r="G83" s="3">
        <v>29</v>
      </c>
      <c r="H83" s="3">
        <v>19</v>
      </c>
      <c r="I83" s="3">
        <v>18</v>
      </c>
      <c r="J83" s="3">
        <v>141</v>
      </c>
      <c r="K83" s="3">
        <v>301</v>
      </c>
      <c r="L83" s="3">
        <v>232</v>
      </c>
      <c r="M83" s="3">
        <v>158</v>
      </c>
      <c r="N83" s="3">
        <v>192.9</v>
      </c>
      <c r="O83" s="3">
        <v>133.30000000000001</v>
      </c>
      <c r="P83" s="3">
        <v>46.13</v>
      </c>
      <c r="Q83" s="3">
        <v>17.739999999999998</v>
      </c>
      <c r="R83" s="3">
        <v>75.25</v>
      </c>
      <c r="S83" s="3">
        <v>86.9</v>
      </c>
      <c r="T83" s="3">
        <v>0</v>
      </c>
      <c r="U83" s="3">
        <v>8.26</v>
      </c>
      <c r="V83" s="3">
        <v>20.75</v>
      </c>
      <c r="W83" s="3">
        <v>8.61</v>
      </c>
      <c r="X83" s="3">
        <v>0</v>
      </c>
      <c r="Y83" s="3">
        <v>0</v>
      </c>
      <c r="Z83" s="3">
        <v>0</v>
      </c>
      <c r="AA83" s="3">
        <v>0</v>
      </c>
      <c r="AB83" s="3">
        <v>0</v>
      </c>
    </row>
    <row r="84" spans="1:28" x14ac:dyDescent="0.2">
      <c r="A84" s="3" t="s">
        <v>252</v>
      </c>
      <c r="B84" s="3">
        <v>976</v>
      </c>
      <c r="C84" s="3">
        <v>573</v>
      </c>
      <c r="D84" s="3">
        <v>218</v>
      </c>
      <c r="E84" s="3">
        <v>202</v>
      </c>
      <c r="F84" s="3">
        <v>163</v>
      </c>
      <c r="G84" s="3">
        <v>60</v>
      </c>
      <c r="H84" s="3">
        <v>46</v>
      </c>
      <c r="I84" s="3">
        <v>15</v>
      </c>
      <c r="J84" s="3">
        <v>4</v>
      </c>
      <c r="K84" s="3">
        <v>44</v>
      </c>
      <c r="L84" s="3">
        <v>108</v>
      </c>
      <c r="M84" s="3">
        <v>172.2</v>
      </c>
      <c r="N84" s="3">
        <v>236.2</v>
      </c>
      <c r="O84" s="3">
        <v>200.4</v>
      </c>
      <c r="P84" s="3">
        <v>163</v>
      </c>
      <c r="Q84" s="3">
        <v>0</v>
      </c>
      <c r="R84" s="3">
        <v>0</v>
      </c>
      <c r="S84" s="3">
        <v>0</v>
      </c>
      <c r="T84" s="3">
        <v>0</v>
      </c>
      <c r="U84" s="3">
        <v>0</v>
      </c>
      <c r="V84" s="3">
        <v>0</v>
      </c>
      <c r="W84" s="3">
        <v>0</v>
      </c>
      <c r="X84" s="3">
        <v>0</v>
      </c>
      <c r="Y84" s="3">
        <v>0</v>
      </c>
      <c r="Z84" s="3">
        <v>0</v>
      </c>
      <c r="AA84" s="3">
        <v>0</v>
      </c>
      <c r="AB84" s="3">
        <v>0</v>
      </c>
    </row>
    <row r="85" spans="1:28" ht="17" customHeight="1" x14ac:dyDescent="0.2">
      <c r="A85" s="3" t="s">
        <v>253</v>
      </c>
      <c r="B85" s="4">
        <v>1807</v>
      </c>
      <c r="C85" s="4">
        <v>1347</v>
      </c>
      <c r="D85" s="4">
        <v>1078</v>
      </c>
      <c r="E85" s="3">
        <v>885</v>
      </c>
      <c r="F85" s="3">
        <v>755</v>
      </c>
      <c r="G85" s="3">
        <v>652</v>
      </c>
      <c r="H85" s="3">
        <v>0</v>
      </c>
      <c r="I85" s="3">
        <v>0</v>
      </c>
      <c r="J85" s="3">
        <v>6</v>
      </c>
      <c r="K85" s="3">
        <v>10</v>
      </c>
      <c r="L85" s="3">
        <v>14</v>
      </c>
      <c r="M85" s="3">
        <v>17.5</v>
      </c>
      <c r="N85" s="3">
        <v>19</v>
      </c>
      <c r="O85" s="3">
        <v>21.44</v>
      </c>
      <c r="P85" s="3">
        <v>23.39</v>
      </c>
      <c r="Q85" s="3">
        <v>24.45</v>
      </c>
      <c r="R85" s="3">
        <v>25.63</v>
      </c>
      <c r="S85" s="3">
        <v>0</v>
      </c>
      <c r="T85" s="3">
        <v>0</v>
      </c>
      <c r="U85" s="3">
        <v>0</v>
      </c>
      <c r="V85" s="3">
        <v>0</v>
      </c>
      <c r="W85" s="3">
        <v>0.85599999999999998</v>
      </c>
      <c r="X85" s="3">
        <v>4.88</v>
      </c>
      <c r="Y85" s="3">
        <v>5.86</v>
      </c>
      <c r="Z85" s="3">
        <v>0.378</v>
      </c>
      <c r="AA85" s="3">
        <v>0</v>
      </c>
      <c r="AB85" s="3">
        <v>0</v>
      </c>
    </row>
    <row r="86" spans="1:28" x14ac:dyDescent="0.2">
      <c r="A86" s="3" t="s">
        <v>254</v>
      </c>
      <c r="B86" s="3">
        <v>576</v>
      </c>
      <c r="C86" s="3">
        <v>159</v>
      </c>
      <c r="D86" s="3">
        <v>370</v>
      </c>
      <c r="E86" s="3">
        <v>221</v>
      </c>
      <c r="F86" s="3">
        <v>216</v>
      </c>
      <c r="G86" s="3">
        <v>34</v>
      </c>
      <c r="H86" s="3">
        <v>568</v>
      </c>
      <c r="I86" s="3">
        <v>599</v>
      </c>
      <c r="J86" s="3">
        <v>120</v>
      </c>
      <c r="K86" s="3">
        <v>98</v>
      </c>
      <c r="L86" s="3">
        <v>135</v>
      </c>
      <c r="M86" s="3">
        <v>127.5</v>
      </c>
      <c r="N86" s="3">
        <v>141.19999999999999</v>
      </c>
      <c r="O86" s="3">
        <v>100.7</v>
      </c>
      <c r="P86" s="3">
        <v>115.2</v>
      </c>
      <c r="Q86" s="3">
        <v>69.760000000000005</v>
      </c>
      <c r="R86" s="3">
        <v>50.96</v>
      </c>
      <c r="S86" s="3">
        <v>75.7</v>
      </c>
      <c r="T86" s="3">
        <v>29.54</v>
      </c>
      <c r="U86" s="3">
        <v>11.78</v>
      </c>
      <c r="V86" s="3">
        <v>8.36</v>
      </c>
      <c r="W86" s="3">
        <v>3.73</v>
      </c>
      <c r="X86" s="3">
        <v>-4.88</v>
      </c>
      <c r="Y86" s="3">
        <v>-5.86</v>
      </c>
      <c r="Z86" s="3">
        <v>-0.378</v>
      </c>
      <c r="AA86" s="3">
        <v>0</v>
      </c>
      <c r="AB86" s="3">
        <v>0</v>
      </c>
    </row>
    <row r="87" spans="1:28" x14ac:dyDescent="0.2">
      <c r="A87" s="39" t="s">
        <v>175</v>
      </c>
      <c r="B87" s="4">
        <v>79327</v>
      </c>
      <c r="C87" s="4">
        <v>42978</v>
      </c>
      <c r="D87" s="4">
        <v>22101</v>
      </c>
      <c r="E87" s="4">
        <v>26612</v>
      </c>
      <c r="F87" s="4">
        <v>16893</v>
      </c>
      <c r="G87" s="4">
        <v>12204</v>
      </c>
      <c r="H87" s="4">
        <v>9342</v>
      </c>
      <c r="I87" s="4">
        <v>7471</v>
      </c>
      <c r="J87" s="4">
        <v>5762</v>
      </c>
      <c r="K87" s="4">
        <v>4469</v>
      </c>
      <c r="L87" s="4">
        <v>4418</v>
      </c>
      <c r="M87" s="4">
        <v>4456</v>
      </c>
      <c r="N87" s="4">
        <v>4828</v>
      </c>
      <c r="O87" s="4">
        <v>4146</v>
      </c>
      <c r="P87" s="4">
        <v>3181</v>
      </c>
      <c r="Q87" s="4">
        <v>2665</v>
      </c>
      <c r="R87" s="4">
        <v>2395</v>
      </c>
      <c r="S87" s="4">
        <v>2618</v>
      </c>
      <c r="T87" s="4">
        <v>2007</v>
      </c>
      <c r="U87" s="4">
        <v>1496</v>
      </c>
      <c r="V87" s="4">
        <v>1178</v>
      </c>
      <c r="W87" s="4">
        <v>1051</v>
      </c>
      <c r="X87" s="3">
        <v>932.7</v>
      </c>
      <c r="Y87" s="3">
        <v>763.8</v>
      </c>
      <c r="Z87" s="3">
        <v>407.1</v>
      </c>
      <c r="AA87" s="3">
        <v>124.6</v>
      </c>
      <c r="AB87" s="3">
        <v>64.2</v>
      </c>
    </row>
    <row r="88" spans="1:28" x14ac:dyDescent="0.2">
      <c r="A88" s="39" t="s">
        <v>255</v>
      </c>
      <c r="B88" s="3">
        <v>0</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0</v>
      </c>
      <c r="AB88" s="3">
        <v>0</v>
      </c>
    </row>
    <row r="89" spans="1:28" x14ac:dyDescent="0.2">
      <c r="A89" s="41" t="s">
        <v>256</v>
      </c>
      <c r="B89" s="4">
        <v>79327</v>
      </c>
      <c r="C89" s="4">
        <v>42978</v>
      </c>
      <c r="D89" s="4">
        <v>22101</v>
      </c>
      <c r="E89" s="4">
        <v>26612</v>
      </c>
      <c r="F89" s="4">
        <v>16893</v>
      </c>
      <c r="G89" s="4">
        <v>12204</v>
      </c>
      <c r="H89" s="4">
        <v>9342</v>
      </c>
      <c r="I89" s="4">
        <v>7471</v>
      </c>
      <c r="J89" s="4">
        <v>5762</v>
      </c>
      <c r="K89" s="4">
        <v>4469</v>
      </c>
      <c r="L89" s="4">
        <v>4418</v>
      </c>
      <c r="M89" s="4">
        <v>4456</v>
      </c>
      <c r="N89" s="4">
        <v>4828</v>
      </c>
      <c r="O89" s="4">
        <v>4146</v>
      </c>
      <c r="P89" s="4">
        <v>3181</v>
      </c>
      <c r="Q89" s="4">
        <v>2665</v>
      </c>
      <c r="R89" s="4">
        <v>2395</v>
      </c>
      <c r="S89" s="4">
        <v>2618</v>
      </c>
      <c r="T89" s="4">
        <v>2007</v>
      </c>
      <c r="U89" s="4">
        <v>1496</v>
      </c>
      <c r="V89" s="4">
        <v>1178</v>
      </c>
      <c r="W89" s="4">
        <v>1051</v>
      </c>
      <c r="X89" s="3">
        <v>932.7</v>
      </c>
      <c r="Y89" s="3">
        <v>763.8</v>
      </c>
      <c r="Z89" s="3">
        <v>407.1</v>
      </c>
      <c r="AA89" s="3">
        <v>124.6</v>
      </c>
      <c r="AB89" s="3">
        <v>64.2</v>
      </c>
    </row>
    <row r="90" spans="1:28" x14ac:dyDescent="0.2">
      <c r="A90" s="3" t="s">
        <v>13</v>
      </c>
      <c r="B90" s="4">
        <v>68038</v>
      </c>
      <c r="C90" s="4">
        <v>29817</v>
      </c>
      <c r="D90" s="4">
        <v>10171</v>
      </c>
      <c r="E90" s="4">
        <v>16235</v>
      </c>
      <c r="F90" s="4">
        <v>18908</v>
      </c>
      <c r="G90" s="4">
        <v>14971</v>
      </c>
      <c r="H90" s="4">
        <v>12565</v>
      </c>
      <c r="I90" s="4">
        <v>8787</v>
      </c>
      <c r="J90" s="4">
        <v>6108</v>
      </c>
      <c r="K90" s="4">
        <v>4350</v>
      </c>
      <c r="L90" s="4">
        <v>3949</v>
      </c>
      <c r="M90" s="4">
        <v>3505</v>
      </c>
      <c r="N90" s="4">
        <v>3246</v>
      </c>
      <c r="O90" s="4">
        <v>2730</v>
      </c>
      <c r="P90" s="4">
        <v>2149</v>
      </c>
      <c r="Q90" s="4">
        <v>1896</v>
      </c>
      <c r="R90" s="4">
        <v>1964</v>
      </c>
      <c r="S90" s="4">
        <v>1994</v>
      </c>
      <c r="T90" s="4">
        <v>1197</v>
      </c>
      <c r="U90" s="3">
        <v>747.7</v>
      </c>
      <c r="V90" s="3">
        <v>572.5</v>
      </c>
      <c r="W90" s="3">
        <v>472.2</v>
      </c>
      <c r="X90" s="3">
        <v>397.7</v>
      </c>
      <c r="Y90" s="3">
        <v>306.89999999999998</v>
      </c>
      <c r="Z90" s="3">
        <v>130</v>
      </c>
      <c r="AA90" s="3">
        <v>28.69</v>
      </c>
      <c r="AB90" s="3">
        <v>-9.4</v>
      </c>
    </row>
    <row r="91" spans="1:28" x14ac:dyDescent="0.2">
      <c r="A91" s="3" t="s">
        <v>257</v>
      </c>
      <c r="B91" s="3">
        <v>28</v>
      </c>
      <c r="C91" s="3">
        <v>27</v>
      </c>
      <c r="D91" s="3">
        <v>-43</v>
      </c>
      <c r="E91" s="3">
        <v>-11</v>
      </c>
      <c r="F91" s="3">
        <v>19</v>
      </c>
      <c r="G91" s="3">
        <v>1</v>
      </c>
      <c r="H91" s="3">
        <v>-12</v>
      </c>
      <c r="I91" s="3">
        <v>-18</v>
      </c>
      <c r="J91" s="3">
        <v>-16</v>
      </c>
      <c r="K91" s="3">
        <v>-4</v>
      </c>
      <c r="L91" s="3">
        <v>8</v>
      </c>
      <c r="M91" s="3">
        <v>4.88</v>
      </c>
      <c r="N91" s="3">
        <v>9.98</v>
      </c>
      <c r="O91" s="3">
        <v>10.61</v>
      </c>
      <c r="P91" s="3">
        <v>10.27</v>
      </c>
      <c r="Q91" s="3">
        <v>12.17</v>
      </c>
      <c r="R91" s="3">
        <v>3.87</v>
      </c>
      <c r="S91" s="3">
        <v>8.0299999999999994</v>
      </c>
      <c r="T91" s="3">
        <v>1.44</v>
      </c>
      <c r="U91" s="3">
        <v>-5.56</v>
      </c>
      <c r="V91" s="3">
        <v>-6.39</v>
      </c>
      <c r="W91" s="3">
        <v>-4.62</v>
      </c>
      <c r="X91" s="3">
        <v>3.76</v>
      </c>
      <c r="Y91" s="3">
        <v>0.108</v>
      </c>
      <c r="Z91" s="3">
        <v>-6.0000000000000001E-3</v>
      </c>
      <c r="AA91" s="3">
        <v>-0.11799999999999999</v>
      </c>
      <c r="AB91" s="3">
        <v>0</v>
      </c>
    </row>
    <row r="92" spans="1:28" x14ac:dyDescent="0.2">
      <c r="A92" s="3" t="s">
        <v>136</v>
      </c>
      <c r="B92" s="3">
        <v>24</v>
      </c>
      <c r="C92" s="3">
        <v>25</v>
      </c>
      <c r="D92" s="3">
        <v>2</v>
      </c>
      <c r="E92" s="3">
        <v>3</v>
      </c>
      <c r="F92" s="3">
        <v>3</v>
      </c>
      <c r="G92" s="3">
        <v>1</v>
      </c>
      <c r="H92" s="3">
        <v>1</v>
      </c>
      <c r="I92" s="3">
        <v>1</v>
      </c>
      <c r="J92" s="3">
        <v>1</v>
      </c>
      <c r="K92" s="3">
        <v>1</v>
      </c>
      <c r="L92" s="3">
        <v>1</v>
      </c>
      <c r="M92" s="3">
        <v>0.73199999999999998</v>
      </c>
      <c r="N92" s="3">
        <v>0.72</v>
      </c>
      <c r="O92" s="3">
        <v>0.7</v>
      </c>
      <c r="P92" s="3">
        <v>0.67700000000000005</v>
      </c>
      <c r="Q92" s="3">
        <v>0.65300000000000002</v>
      </c>
      <c r="R92" s="3">
        <v>0.629</v>
      </c>
      <c r="S92" s="3">
        <v>0.61899999999999999</v>
      </c>
      <c r="T92" s="3">
        <v>0.38800000000000001</v>
      </c>
      <c r="U92" s="3">
        <v>0.36</v>
      </c>
      <c r="V92" s="3">
        <v>0.16900000000000001</v>
      </c>
      <c r="W92" s="3">
        <v>0.16400000000000001</v>
      </c>
      <c r="X92" s="3">
        <v>0.158</v>
      </c>
      <c r="Y92" s="3">
        <v>0.15</v>
      </c>
      <c r="Z92" s="3">
        <v>0.13700000000000001</v>
      </c>
      <c r="AA92" s="3">
        <v>6.2E-2</v>
      </c>
      <c r="AB92" s="3">
        <v>0</v>
      </c>
    </row>
    <row r="93" spans="1:28" x14ac:dyDescent="0.2">
      <c r="A93" s="3" t="s">
        <v>258</v>
      </c>
      <c r="B93" s="3">
        <v>0</v>
      </c>
      <c r="C93" s="3">
        <v>0</v>
      </c>
      <c r="D93" s="3">
        <v>0</v>
      </c>
      <c r="E93" s="3">
        <v>0</v>
      </c>
      <c r="F93" s="3">
        <v>0</v>
      </c>
      <c r="G93" s="3">
        <v>0</v>
      </c>
      <c r="H93" s="3">
        <v>0</v>
      </c>
      <c r="I93" s="3">
        <v>0</v>
      </c>
      <c r="J93" s="3">
        <v>0</v>
      </c>
      <c r="K93" s="3">
        <v>0</v>
      </c>
      <c r="L93" s="3">
        <v>0</v>
      </c>
      <c r="M93" s="3">
        <v>0</v>
      </c>
      <c r="N93" s="3">
        <v>0</v>
      </c>
      <c r="O93" s="3">
        <v>0</v>
      </c>
      <c r="P93" s="3">
        <v>0</v>
      </c>
      <c r="Q93" s="3">
        <v>0</v>
      </c>
      <c r="R93" s="3">
        <v>0</v>
      </c>
      <c r="S93" s="3">
        <v>0</v>
      </c>
      <c r="T93" s="3">
        <v>0</v>
      </c>
      <c r="U93" s="3">
        <v>0</v>
      </c>
      <c r="V93" s="3">
        <v>0</v>
      </c>
      <c r="W93" s="3">
        <v>0</v>
      </c>
      <c r="X93" s="3">
        <v>0</v>
      </c>
      <c r="Y93" s="3">
        <v>0</v>
      </c>
      <c r="Z93" s="3">
        <v>0</v>
      </c>
      <c r="AA93" s="3">
        <v>0</v>
      </c>
      <c r="AB93" s="3">
        <v>0</v>
      </c>
    </row>
    <row r="94" spans="1:28" x14ac:dyDescent="0.2">
      <c r="A94" s="3" t="s">
        <v>259</v>
      </c>
      <c r="B94" s="4">
        <v>11237</v>
      </c>
      <c r="C94" s="4">
        <v>13109</v>
      </c>
      <c r="D94" s="4">
        <v>11971</v>
      </c>
      <c r="E94" s="4">
        <v>10385</v>
      </c>
      <c r="F94" s="4">
        <v>-2037</v>
      </c>
      <c r="G94" s="4">
        <v>-2769</v>
      </c>
      <c r="H94" s="4">
        <v>-3212</v>
      </c>
      <c r="I94" s="4">
        <v>-1299</v>
      </c>
      <c r="J94" s="3">
        <v>-331</v>
      </c>
      <c r="K94" s="3">
        <v>122</v>
      </c>
      <c r="L94" s="3">
        <v>460</v>
      </c>
      <c r="M94" s="3">
        <v>946</v>
      </c>
      <c r="N94" s="4">
        <v>1571</v>
      </c>
      <c r="O94" s="4">
        <v>1404</v>
      </c>
      <c r="P94" s="4">
        <v>1021</v>
      </c>
      <c r="Q94" s="3">
        <v>756.1</v>
      </c>
      <c r="R94" s="3">
        <v>426</v>
      </c>
      <c r="S94" s="3">
        <v>615</v>
      </c>
      <c r="T94" s="3">
        <v>808.5</v>
      </c>
      <c r="U94" s="3">
        <v>753.5</v>
      </c>
      <c r="V94" s="3">
        <v>612</v>
      </c>
      <c r="W94" s="3">
        <v>583.5</v>
      </c>
      <c r="X94" s="3">
        <v>531</v>
      </c>
      <c r="Y94" s="3">
        <v>456.6</v>
      </c>
      <c r="Z94" s="3">
        <v>277</v>
      </c>
      <c r="AA94" s="3">
        <v>95.93</v>
      </c>
      <c r="AB94" s="3">
        <v>73.599999999999994</v>
      </c>
    </row>
    <row r="95" spans="1:28" x14ac:dyDescent="0.2">
      <c r="A95" s="41" t="s">
        <v>260</v>
      </c>
      <c r="B95" s="4">
        <v>111601</v>
      </c>
      <c r="C95" s="4">
        <v>65728</v>
      </c>
      <c r="D95" s="4">
        <v>41182</v>
      </c>
      <c r="E95" s="4">
        <v>44187</v>
      </c>
      <c r="F95" s="4">
        <v>28791</v>
      </c>
      <c r="G95" s="4">
        <v>17315</v>
      </c>
      <c r="H95" s="4">
        <v>13292</v>
      </c>
      <c r="I95" s="4">
        <v>11241</v>
      </c>
      <c r="J95" s="4">
        <v>9841</v>
      </c>
      <c r="K95" s="4">
        <v>7370</v>
      </c>
      <c r="L95" s="4">
        <v>7201</v>
      </c>
      <c r="M95" s="4">
        <v>7251</v>
      </c>
      <c r="N95" s="4">
        <v>6412</v>
      </c>
      <c r="O95" s="4">
        <v>5553</v>
      </c>
      <c r="P95" s="4">
        <v>4495</v>
      </c>
      <c r="Q95" s="4">
        <v>3586</v>
      </c>
      <c r="R95" s="4">
        <v>3351</v>
      </c>
      <c r="S95" s="4">
        <v>3748</v>
      </c>
      <c r="T95" s="4">
        <v>2675</v>
      </c>
      <c r="U95" s="4">
        <v>1955</v>
      </c>
      <c r="V95" s="4">
        <v>1629</v>
      </c>
      <c r="W95" s="4">
        <v>1399</v>
      </c>
      <c r="X95" s="4">
        <v>1617</v>
      </c>
      <c r="Y95" s="4">
        <v>1503</v>
      </c>
      <c r="Z95" s="4">
        <v>1017</v>
      </c>
      <c r="AA95" s="3">
        <v>202.2</v>
      </c>
      <c r="AB95" s="3">
        <v>113.3</v>
      </c>
    </row>
    <row r="96" spans="1:28" x14ac:dyDescent="0.2">
      <c r="A96" s="41" t="s">
        <v>261</v>
      </c>
      <c r="B96" s="4">
        <v>111601</v>
      </c>
      <c r="C96" s="4">
        <v>65728</v>
      </c>
      <c r="D96" s="4">
        <v>41182</v>
      </c>
      <c r="E96" s="4">
        <v>44187</v>
      </c>
      <c r="F96" s="4">
        <v>28791</v>
      </c>
      <c r="G96" s="4">
        <v>17315</v>
      </c>
      <c r="H96" s="4">
        <v>13292</v>
      </c>
      <c r="I96" s="4">
        <v>11241</v>
      </c>
      <c r="J96" s="4">
        <v>9841</v>
      </c>
      <c r="K96" s="4">
        <v>7370</v>
      </c>
      <c r="L96" s="4">
        <v>7201</v>
      </c>
      <c r="M96" s="4">
        <v>7251</v>
      </c>
      <c r="N96" s="4">
        <v>6412</v>
      </c>
      <c r="O96" s="4">
        <v>5553</v>
      </c>
      <c r="P96" s="4">
        <v>4495</v>
      </c>
      <c r="Q96" s="4">
        <v>3586</v>
      </c>
      <c r="R96" s="4">
        <v>3351</v>
      </c>
      <c r="S96" s="4">
        <v>3748</v>
      </c>
      <c r="T96" s="4">
        <v>2675</v>
      </c>
      <c r="U96" s="4">
        <v>1955</v>
      </c>
      <c r="V96" s="4">
        <v>1629</v>
      </c>
      <c r="W96" s="4">
        <v>1399</v>
      </c>
      <c r="X96" s="4">
        <v>1617</v>
      </c>
      <c r="Y96" s="4">
        <v>1503</v>
      </c>
      <c r="Z96" s="4">
        <v>1017</v>
      </c>
      <c r="AA96" s="3">
        <v>202.2</v>
      </c>
      <c r="AB96" s="3">
        <v>113.3</v>
      </c>
    </row>
    <row r="97" spans="1:29" x14ac:dyDescent="0.2">
      <c r="A97" s="41" t="s">
        <v>262</v>
      </c>
      <c r="B97" s="4">
        <v>38008</v>
      </c>
      <c r="C97" s="4">
        <v>20025</v>
      </c>
      <c r="D97" s="4">
        <v>10206</v>
      </c>
      <c r="E97" s="4">
        <v>19484</v>
      </c>
      <c r="F97" s="4">
        <v>10858</v>
      </c>
      <c r="G97" s="3">
        <v>78</v>
      </c>
      <c r="H97" s="4">
        <v>6640</v>
      </c>
      <c r="I97" s="4">
        <v>3106</v>
      </c>
      <c r="J97" s="4">
        <v>5032</v>
      </c>
      <c r="K97" s="4">
        <v>4441</v>
      </c>
      <c r="L97" s="4">
        <v>4126</v>
      </c>
      <c r="M97" s="4">
        <v>3520</v>
      </c>
      <c r="N97" s="4">
        <v>3005</v>
      </c>
      <c r="O97" s="4">
        <v>2472</v>
      </c>
      <c r="P97" s="4">
        <v>1834</v>
      </c>
      <c r="Q97" s="4">
        <v>1288</v>
      </c>
      <c r="R97" s="3">
        <v>844.1</v>
      </c>
      <c r="S97" s="4">
        <v>1083</v>
      </c>
      <c r="T97" s="3">
        <v>573.4</v>
      </c>
      <c r="U97" s="3">
        <v>398.4</v>
      </c>
      <c r="V97" s="3">
        <v>461.5</v>
      </c>
      <c r="W97" s="3">
        <v>389.6</v>
      </c>
      <c r="X97" s="3">
        <v>681.4</v>
      </c>
      <c r="Y97" s="3">
        <v>458.4</v>
      </c>
      <c r="Z97" s="3">
        <v>0</v>
      </c>
      <c r="AA97" s="3">
        <v>0</v>
      </c>
      <c r="AB97" s="3">
        <v>0</v>
      </c>
    </row>
    <row r="98" spans="1:29" x14ac:dyDescent="0.2">
      <c r="A98" s="41" t="s">
        <v>7</v>
      </c>
      <c r="B98" s="4">
        <v>10270</v>
      </c>
      <c r="C98" s="4">
        <v>11056</v>
      </c>
      <c r="D98" s="4">
        <v>12031</v>
      </c>
      <c r="E98" s="4">
        <v>11831</v>
      </c>
      <c r="F98" s="4">
        <v>7718</v>
      </c>
      <c r="G98" s="4">
        <v>2643</v>
      </c>
      <c r="H98" s="4">
        <v>1988</v>
      </c>
      <c r="I98" s="4">
        <v>2000</v>
      </c>
      <c r="J98" s="4">
        <v>2816</v>
      </c>
      <c r="K98" s="4">
        <v>1510</v>
      </c>
      <c r="L98" s="4">
        <v>1398</v>
      </c>
      <c r="M98" s="4">
        <v>1374</v>
      </c>
      <c r="N98" s="3">
        <v>19</v>
      </c>
      <c r="O98" s="3">
        <v>21.44</v>
      </c>
      <c r="P98" s="3">
        <v>23.39</v>
      </c>
      <c r="Q98" s="3">
        <v>24.45</v>
      </c>
      <c r="R98" s="3">
        <v>25.63</v>
      </c>
      <c r="S98" s="3">
        <v>0</v>
      </c>
      <c r="T98" s="3">
        <v>0</v>
      </c>
      <c r="U98" s="3">
        <v>0</v>
      </c>
      <c r="V98" s="3">
        <v>0.85599999999999998</v>
      </c>
      <c r="W98" s="3">
        <v>4.87</v>
      </c>
      <c r="X98" s="3">
        <v>310.60000000000002</v>
      </c>
      <c r="Y98" s="3">
        <v>309.8</v>
      </c>
      <c r="Z98" s="3">
        <v>301</v>
      </c>
      <c r="AA98" s="3">
        <v>3.25</v>
      </c>
      <c r="AB98" s="3">
        <v>8.4</v>
      </c>
    </row>
    <row r="99" spans="1:29" x14ac:dyDescent="0.2">
      <c r="A99" s="41" t="s">
        <v>176</v>
      </c>
      <c r="B99" s="4">
        <v>1681</v>
      </c>
      <c r="C99" s="4">
        <v>3776</v>
      </c>
      <c r="D99" s="4">
        <v>8642</v>
      </c>
      <c r="E99" s="4">
        <v>9841</v>
      </c>
      <c r="F99" s="4">
        <v>6871</v>
      </c>
      <c r="G99" s="4">
        <v>-8253</v>
      </c>
      <c r="H99" s="4">
        <v>1206</v>
      </c>
      <c r="I99" s="4">
        <v>-2002</v>
      </c>
      <c r="J99" s="4">
        <v>1050</v>
      </c>
      <c r="K99" s="3">
        <v>914</v>
      </c>
      <c r="L99" s="3">
        <v>901</v>
      </c>
      <c r="M99" s="3">
        <v>222.3</v>
      </c>
      <c r="N99" s="3">
        <v>-713.8</v>
      </c>
      <c r="O99" s="3">
        <v>-646.4</v>
      </c>
      <c r="P99" s="3">
        <v>-642</v>
      </c>
      <c r="Q99" s="3">
        <v>-422.8</v>
      </c>
      <c r="R99" s="3">
        <v>-392.1</v>
      </c>
      <c r="S99" s="3">
        <v>-727</v>
      </c>
      <c r="T99" s="3">
        <v>-544.4</v>
      </c>
      <c r="U99" s="3">
        <v>-551.79999999999995</v>
      </c>
      <c r="V99" s="3">
        <v>-207.7</v>
      </c>
      <c r="W99" s="3">
        <v>-209.6</v>
      </c>
      <c r="X99" s="3">
        <v>-36.44</v>
      </c>
      <c r="Y99" s="3">
        <v>-23.24</v>
      </c>
      <c r="Z99" s="3">
        <v>-373.3</v>
      </c>
      <c r="AA99" s="3">
        <v>-58.31</v>
      </c>
      <c r="AB99" s="3">
        <v>-41.9</v>
      </c>
    </row>
    <row r="105" spans="1:29" x14ac:dyDescent="0.2">
      <c r="A105" s="88" t="s">
        <v>220</v>
      </c>
      <c r="B105" s="1" t="s">
        <v>221</v>
      </c>
      <c r="C105" s="1">
        <v>2025</v>
      </c>
      <c r="D105" s="1">
        <v>2024</v>
      </c>
      <c r="E105" s="1">
        <v>2023</v>
      </c>
      <c r="F105" s="1">
        <v>2022</v>
      </c>
      <c r="G105" s="1">
        <v>2021</v>
      </c>
      <c r="H105" s="1">
        <v>2020</v>
      </c>
      <c r="I105" s="1">
        <v>2019</v>
      </c>
      <c r="J105" s="1">
        <v>2018</v>
      </c>
      <c r="K105" s="1">
        <v>2017</v>
      </c>
      <c r="L105" s="1">
        <v>2016</v>
      </c>
      <c r="M105" s="1">
        <v>2015</v>
      </c>
      <c r="N105" s="1">
        <v>2014</v>
      </c>
      <c r="O105" s="1">
        <v>2013</v>
      </c>
      <c r="P105" s="1">
        <v>2012</v>
      </c>
      <c r="Q105" s="1">
        <v>2011</v>
      </c>
      <c r="R105" s="1">
        <v>2010</v>
      </c>
      <c r="S105" s="1">
        <v>2009</v>
      </c>
      <c r="T105" s="1">
        <v>2008</v>
      </c>
      <c r="U105" s="1">
        <v>2007</v>
      </c>
      <c r="V105" s="1">
        <v>2006</v>
      </c>
      <c r="W105" s="1">
        <v>2005</v>
      </c>
      <c r="X105" s="1">
        <v>2004</v>
      </c>
      <c r="Y105" s="1">
        <v>2003</v>
      </c>
      <c r="Z105" s="1">
        <v>2002</v>
      </c>
      <c r="AA105" s="1">
        <v>2001</v>
      </c>
      <c r="AB105" s="1">
        <v>2000</v>
      </c>
      <c r="AC105" s="1">
        <v>1999</v>
      </c>
    </row>
    <row r="106" spans="1:29" ht="16" customHeight="1" x14ac:dyDescent="0.2">
      <c r="A106" s="88"/>
      <c r="B106" s="37" t="s">
        <v>222</v>
      </c>
      <c r="C106" s="38">
        <v>45688</v>
      </c>
      <c r="D106" s="38">
        <v>45688</v>
      </c>
      <c r="E106" s="38">
        <v>45688</v>
      </c>
      <c r="F106" s="38">
        <v>45688</v>
      </c>
      <c r="G106" s="38">
        <v>45688</v>
      </c>
      <c r="H106" s="38">
        <v>45688</v>
      </c>
      <c r="I106" s="38">
        <v>45688</v>
      </c>
      <c r="J106" s="38">
        <v>45688</v>
      </c>
      <c r="K106" s="38">
        <v>45688</v>
      </c>
      <c r="L106" s="38">
        <v>45688</v>
      </c>
      <c r="M106" s="38">
        <v>45688</v>
      </c>
      <c r="N106" s="38">
        <v>45688</v>
      </c>
      <c r="O106" s="38">
        <v>45688</v>
      </c>
      <c r="P106" s="38">
        <v>45688</v>
      </c>
      <c r="Q106" s="38">
        <v>45688</v>
      </c>
      <c r="R106" s="38">
        <v>45688</v>
      </c>
      <c r="S106" s="38">
        <v>45688</v>
      </c>
      <c r="T106" s="38">
        <v>45688</v>
      </c>
      <c r="U106" s="38">
        <v>45688</v>
      </c>
      <c r="V106" s="38">
        <v>45688</v>
      </c>
      <c r="W106" s="38">
        <v>45688</v>
      </c>
      <c r="X106" s="38">
        <v>45688</v>
      </c>
      <c r="Y106" s="38">
        <v>45688</v>
      </c>
      <c r="Z106" s="38">
        <v>45688</v>
      </c>
      <c r="AA106" s="38">
        <v>45688</v>
      </c>
      <c r="AB106" s="38">
        <v>45688</v>
      </c>
      <c r="AC106" s="38">
        <v>45688</v>
      </c>
    </row>
    <row r="107" spans="1:29" ht="16" customHeight="1" x14ac:dyDescent="0.2">
      <c r="A107" s="39" t="s">
        <v>236</v>
      </c>
      <c r="B107" s="40">
        <v>45896</v>
      </c>
      <c r="C107" s="40">
        <v>45714</v>
      </c>
      <c r="D107" s="40">
        <v>45343</v>
      </c>
      <c r="E107" s="40">
        <v>44981</v>
      </c>
      <c r="F107" s="40">
        <v>44638</v>
      </c>
      <c r="G107" s="40">
        <v>44253</v>
      </c>
      <c r="H107" s="40">
        <v>43881</v>
      </c>
      <c r="I107" s="40">
        <v>43517</v>
      </c>
      <c r="J107" s="40">
        <v>43159</v>
      </c>
      <c r="K107" s="40">
        <v>42795</v>
      </c>
      <c r="L107" s="40">
        <v>42446</v>
      </c>
      <c r="M107" s="40">
        <v>42075</v>
      </c>
      <c r="N107" s="40">
        <v>41711</v>
      </c>
      <c r="O107" s="40">
        <v>41345</v>
      </c>
      <c r="P107" s="40">
        <v>40981</v>
      </c>
      <c r="Q107" s="40">
        <v>40618</v>
      </c>
      <c r="R107" s="40">
        <v>40255</v>
      </c>
      <c r="S107" s="40">
        <v>39885</v>
      </c>
      <c r="T107" s="40">
        <v>39478</v>
      </c>
      <c r="U107" s="40">
        <v>39157</v>
      </c>
      <c r="V107" s="40">
        <v>39050</v>
      </c>
      <c r="W107" s="40">
        <v>38433</v>
      </c>
      <c r="X107" s="40">
        <v>38075</v>
      </c>
      <c r="Y107" s="40">
        <v>37736</v>
      </c>
      <c r="Z107" s="40">
        <v>37390</v>
      </c>
      <c r="AA107" s="40">
        <v>37036</v>
      </c>
      <c r="AB107" s="40">
        <v>36598</v>
      </c>
      <c r="AC107" s="40">
        <v>36279</v>
      </c>
    </row>
    <row r="108" spans="1:29" x14ac:dyDescent="0.2">
      <c r="A108" s="41" t="s">
        <v>263</v>
      </c>
      <c r="B108" s="4">
        <v>86597</v>
      </c>
      <c r="C108" s="4">
        <v>72880</v>
      </c>
      <c r="D108" s="4">
        <v>29760</v>
      </c>
      <c r="E108" s="4">
        <v>4368</v>
      </c>
      <c r="F108" s="4">
        <v>9752</v>
      </c>
      <c r="G108" s="4">
        <v>4332</v>
      </c>
      <c r="H108" s="4">
        <v>2796</v>
      </c>
      <c r="I108" s="4">
        <v>4141</v>
      </c>
      <c r="J108" s="4">
        <v>3047</v>
      </c>
      <c r="K108" s="4">
        <v>1666</v>
      </c>
      <c r="L108" s="3">
        <v>614</v>
      </c>
      <c r="M108" s="3">
        <v>631</v>
      </c>
      <c r="N108" s="3">
        <v>440</v>
      </c>
      <c r="O108" s="3">
        <v>562.5</v>
      </c>
      <c r="P108" s="3">
        <v>581.1</v>
      </c>
      <c r="Q108" s="3">
        <v>253.1</v>
      </c>
      <c r="R108" s="3">
        <v>-67.989999999999995</v>
      </c>
      <c r="S108" s="3">
        <v>-30.04</v>
      </c>
      <c r="T108" s="3">
        <v>797.6</v>
      </c>
      <c r="U108" s="3">
        <v>448.8</v>
      </c>
      <c r="V108" s="3">
        <v>301.2</v>
      </c>
      <c r="W108" s="3">
        <v>88.61</v>
      </c>
      <c r="X108" s="3">
        <v>74.42</v>
      </c>
      <c r="Y108" s="3">
        <v>90.8</v>
      </c>
      <c r="Z108" s="3">
        <v>176.9</v>
      </c>
      <c r="AA108" s="3">
        <v>98.47</v>
      </c>
      <c r="AB108" s="3">
        <v>40.96</v>
      </c>
      <c r="AC108" s="3">
        <v>4.0999999999999996</v>
      </c>
    </row>
    <row r="109" spans="1:29" x14ac:dyDescent="0.2">
      <c r="A109" s="39" t="s">
        <v>264</v>
      </c>
      <c r="B109" s="4">
        <v>77035</v>
      </c>
      <c r="C109" s="4">
        <v>64089</v>
      </c>
      <c r="D109" s="4">
        <v>28090</v>
      </c>
      <c r="E109" s="4">
        <v>5641</v>
      </c>
      <c r="F109" s="4">
        <v>9108</v>
      </c>
      <c r="G109" s="4">
        <v>5822</v>
      </c>
      <c r="H109" s="4">
        <v>4761</v>
      </c>
      <c r="I109" s="4">
        <v>3743</v>
      </c>
      <c r="J109" s="4">
        <v>3502</v>
      </c>
      <c r="K109" s="4">
        <v>1672</v>
      </c>
      <c r="L109" s="4">
        <v>1175</v>
      </c>
      <c r="M109" s="3">
        <v>906</v>
      </c>
      <c r="N109" s="3">
        <v>835</v>
      </c>
      <c r="O109" s="3">
        <v>824.2</v>
      </c>
      <c r="P109" s="3">
        <v>909.2</v>
      </c>
      <c r="Q109" s="3">
        <v>675.8</v>
      </c>
      <c r="R109" s="3">
        <v>487.8</v>
      </c>
      <c r="S109" s="3">
        <v>249.4</v>
      </c>
      <c r="T109" s="4">
        <v>1270</v>
      </c>
      <c r="U109" s="3">
        <v>587.1</v>
      </c>
      <c r="V109" s="3">
        <v>446.4</v>
      </c>
      <c r="W109" s="3">
        <v>132.19999999999999</v>
      </c>
      <c r="X109" s="3">
        <v>49.68</v>
      </c>
      <c r="Y109" s="3">
        <v>265</v>
      </c>
      <c r="Z109" s="3">
        <v>160.80000000000001</v>
      </c>
      <c r="AA109" s="3">
        <v>267.89999999999998</v>
      </c>
      <c r="AB109" s="3">
        <v>15.87</v>
      </c>
      <c r="AC109" s="3">
        <v>-1.9</v>
      </c>
    </row>
    <row r="110" spans="1:29" x14ac:dyDescent="0.2">
      <c r="A110" s="39" t="s">
        <v>231</v>
      </c>
      <c r="B110" s="4">
        <v>2301</v>
      </c>
      <c r="C110" s="4">
        <v>1864</v>
      </c>
      <c r="D110" s="4">
        <v>1508</v>
      </c>
      <c r="E110" s="4">
        <v>1544</v>
      </c>
      <c r="F110" s="4">
        <v>1174</v>
      </c>
      <c r="G110" s="4">
        <v>1098</v>
      </c>
      <c r="H110" s="3">
        <v>381</v>
      </c>
      <c r="I110" s="3">
        <v>262</v>
      </c>
      <c r="J110" s="3">
        <v>199</v>
      </c>
      <c r="K110" s="3">
        <v>187</v>
      </c>
      <c r="L110" s="3">
        <v>197</v>
      </c>
      <c r="M110" s="3">
        <v>220</v>
      </c>
      <c r="N110" s="3">
        <v>239</v>
      </c>
      <c r="O110" s="3">
        <v>226.2</v>
      </c>
      <c r="P110" s="3">
        <v>204.2</v>
      </c>
      <c r="Q110" s="3">
        <v>187</v>
      </c>
      <c r="R110" s="3">
        <v>196.7</v>
      </c>
      <c r="S110" s="3">
        <v>185</v>
      </c>
      <c r="T110" s="3">
        <v>133.19999999999999</v>
      </c>
      <c r="U110" s="3">
        <v>107.6</v>
      </c>
      <c r="V110" s="3">
        <v>97.98</v>
      </c>
      <c r="W110" s="3">
        <v>102.6</v>
      </c>
      <c r="X110" s="3">
        <v>82.69</v>
      </c>
      <c r="Y110" s="3">
        <v>58.22</v>
      </c>
      <c r="Z110" s="3">
        <v>43.5</v>
      </c>
      <c r="AA110" s="3">
        <v>15.84</v>
      </c>
      <c r="AB110" s="3">
        <v>9.67</v>
      </c>
      <c r="AC110" s="3">
        <v>6.5</v>
      </c>
    </row>
    <row r="111" spans="1:29" x14ac:dyDescent="0.2">
      <c r="A111" s="39" t="s">
        <v>265</v>
      </c>
      <c r="B111" s="4">
        <v>-3361</v>
      </c>
      <c r="C111" s="4">
        <v>-4477</v>
      </c>
      <c r="D111" s="4">
        <v>-2489</v>
      </c>
      <c r="E111" s="4">
        <v>-2164</v>
      </c>
      <c r="F111" s="3">
        <v>-406</v>
      </c>
      <c r="G111" s="3">
        <v>-282</v>
      </c>
      <c r="H111" s="3">
        <v>18</v>
      </c>
      <c r="I111" s="3">
        <v>-315</v>
      </c>
      <c r="J111" s="3">
        <v>-359</v>
      </c>
      <c r="K111" s="3">
        <v>197</v>
      </c>
      <c r="L111" s="3">
        <v>134</v>
      </c>
      <c r="M111" s="3">
        <v>83</v>
      </c>
      <c r="N111" s="3">
        <v>15</v>
      </c>
      <c r="O111" s="3">
        <v>31.86</v>
      </c>
      <c r="P111" s="3">
        <v>19.059999999999999</v>
      </c>
      <c r="Q111" s="3">
        <v>-2.65</v>
      </c>
      <c r="R111" s="3">
        <v>-21.15</v>
      </c>
      <c r="S111" s="3">
        <v>-23.28</v>
      </c>
      <c r="T111" s="3">
        <v>89.52</v>
      </c>
      <c r="U111" s="3">
        <v>41.77</v>
      </c>
      <c r="V111" s="3">
        <v>-2.69</v>
      </c>
      <c r="W111" s="3">
        <v>8.69</v>
      </c>
      <c r="X111" s="3">
        <v>55.13</v>
      </c>
      <c r="Y111" s="3">
        <v>29.77</v>
      </c>
      <c r="Z111" s="3">
        <v>-51.91</v>
      </c>
      <c r="AA111" s="3">
        <v>-27.2</v>
      </c>
      <c r="AB111" s="3">
        <v>-4.99</v>
      </c>
      <c r="AC111" s="3">
        <v>0</v>
      </c>
    </row>
    <row r="112" spans="1:29" x14ac:dyDescent="0.2">
      <c r="A112" s="39" t="s">
        <v>266</v>
      </c>
      <c r="B112" s="4">
        <v>5672</v>
      </c>
      <c r="C112" s="4">
        <v>4737</v>
      </c>
      <c r="D112" s="4">
        <v>3549</v>
      </c>
      <c r="E112" s="4">
        <v>2709</v>
      </c>
      <c r="F112" s="4">
        <v>2004</v>
      </c>
      <c r="G112" s="4">
        <v>1397</v>
      </c>
      <c r="H112" s="3">
        <v>844</v>
      </c>
      <c r="I112" s="3">
        <v>557</v>
      </c>
      <c r="J112" s="3">
        <v>391</v>
      </c>
      <c r="K112" s="3">
        <v>247</v>
      </c>
      <c r="L112" s="3">
        <v>204</v>
      </c>
      <c r="M112" s="3">
        <v>158</v>
      </c>
      <c r="N112" s="3">
        <v>136</v>
      </c>
      <c r="O112" s="3">
        <v>136.69999999999999</v>
      </c>
      <c r="P112" s="3">
        <v>136.4</v>
      </c>
      <c r="Q112" s="3">
        <v>100.4</v>
      </c>
      <c r="R112" s="3">
        <v>242.8</v>
      </c>
      <c r="S112" s="3">
        <v>162.69999999999999</v>
      </c>
      <c r="T112" s="3">
        <v>0</v>
      </c>
      <c r="U112" s="3">
        <v>0</v>
      </c>
      <c r="V112" s="3">
        <v>0</v>
      </c>
      <c r="W112" s="3">
        <v>0</v>
      </c>
      <c r="X112" s="3">
        <v>0</v>
      </c>
      <c r="Y112" s="3">
        <v>0</v>
      </c>
      <c r="Z112" s="3">
        <v>0</v>
      </c>
      <c r="AA112" s="3">
        <v>0</v>
      </c>
      <c r="AB112" s="3">
        <v>0</v>
      </c>
      <c r="AC112" s="3">
        <v>0</v>
      </c>
    </row>
    <row r="113" spans="1:29" x14ac:dyDescent="0.2">
      <c r="A113" s="39" t="s">
        <v>267</v>
      </c>
      <c r="B113" s="4">
        <v>-3249</v>
      </c>
      <c r="C113" s="4">
        <v>-1532</v>
      </c>
      <c r="D113" s="3">
        <v>-516</v>
      </c>
      <c r="E113" s="4">
        <v>1391</v>
      </c>
      <c r="F113" s="3">
        <v>-53</v>
      </c>
      <c r="G113" s="3">
        <v>-20</v>
      </c>
      <c r="H113" s="3">
        <v>5</v>
      </c>
      <c r="I113" s="3">
        <v>-45</v>
      </c>
      <c r="J113" s="3">
        <v>39</v>
      </c>
      <c r="K113" s="3">
        <v>54</v>
      </c>
      <c r="L113" s="3">
        <v>77</v>
      </c>
      <c r="M113" s="3">
        <v>17</v>
      </c>
      <c r="N113" s="3">
        <v>-8</v>
      </c>
      <c r="O113" s="3">
        <v>-20.8</v>
      </c>
      <c r="P113" s="3">
        <v>-33.700000000000003</v>
      </c>
      <c r="Q113" s="3">
        <v>-13.74</v>
      </c>
      <c r="R113" s="3">
        <v>1.04</v>
      </c>
      <c r="S113" s="3">
        <v>-11.72</v>
      </c>
      <c r="T113" s="3">
        <v>79.89</v>
      </c>
      <c r="U113" s="3">
        <v>121.8</v>
      </c>
      <c r="V113" s="3">
        <v>33.159999999999997</v>
      </c>
      <c r="W113" s="3">
        <v>28.47</v>
      </c>
      <c r="X113" s="3">
        <v>18.2</v>
      </c>
      <c r="Y113" s="3">
        <v>50.85</v>
      </c>
      <c r="Z113" s="3">
        <v>90.74</v>
      </c>
      <c r="AA113" s="3">
        <v>64.11</v>
      </c>
      <c r="AB113" s="3">
        <v>13.02</v>
      </c>
      <c r="AC113" s="3">
        <v>0.1</v>
      </c>
    </row>
    <row r="114" spans="1:29" x14ac:dyDescent="0.2">
      <c r="A114" s="39" t="s">
        <v>268</v>
      </c>
      <c r="B114" s="4">
        <v>-10925</v>
      </c>
      <c r="C114" s="4">
        <v>-9383</v>
      </c>
      <c r="D114" s="4">
        <v>-3722</v>
      </c>
      <c r="E114" s="4">
        <v>-2207</v>
      </c>
      <c r="F114" s="4">
        <v>-3363</v>
      </c>
      <c r="G114" s="3">
        <v>-703</v>
      </c>
      <c r="H114" s="3">
        <v>717</v>
      </c>
      <c r="I114" s="3">
        <v>-857</v>
      </c>
      <c r="J114" s="3">
        <v>185</v>
      </c>
      <c r="K114" s="3">
        <v>-679</v>
      </c>
      <c r="L114" s="3">
        <v>-51</v>
      </c>
      <c r="M114" s="3">
        <v>-203</v>
      </c>
      <c r="N114" s="3">
        <v>13</v>
      </c>
      <c r="O114" s="3">
        <v>-112.3</v>
      </c>
      <c r="P114" s="3">
        <v>2.15</v>
      </c>
      <c r="Q114" s="3">
        <v>151.69999999999999</v>
      </c>
      <c r="R114" s="3">
        <v>136.4</v>
      </c>
      <c r="S114" s="3">
        <v>-33.33</v>
      </c>
      <c r="T114" s="3">
        <v>169.9</v>
      </c>
      <c r="U114" s="3">
        <v>-132.9</v>
      </c>
      <c r="V114" s="3">
        <v>16.79</v>
      </c>
      <c r="W114" s="3">
        <v>-96.18</v>
      </c>
      <c r="X114" s="3">
        <v>-180.8</v>
      </c>
      <c r="Y114" s="3">
        <v>35.4</v>
      </c>
      <c r="Z114" s="3">
        <v>-98.44</v>
      </c>
      <c r="AA114" s="3">
        <v>116.7</v>
      </c>
      <c r="AB114" s="3">
        <v>-42.79</v>
      </c>
      <c r="AC114" s="3">
        <v>-12.6</v>
      </c>
    </row>
    <row r="115" spans="1:29" x14ac:dyDescent="0.2">
      <c r="A115" s="3" t="s">
        <v>269</v>
      </c>
      <c r="B115" s="4">
        <v>-13673</v>
      </c>
      <c r="C115" s="4">
        <v>-13063</v>
      </c>
      <c r="D115" s="4">
        <v>-6172</v>
      </c>
      <c r="E115" s="3">
        <v>822</v>
      </c>
      <c r="F115" s="4">
        <v>-2215</v>
      </c>
      <c r="G115" s="3">
        <v>-550</v>
      </c>
      <c r="H115" s="3">
        <v>-233</v>
      </c>
      <c r="I115" s="3">
        <v>-149</v>
      </c>
      <c r="J115" s="3">
        <v>-440</v>
      </c>
      <c r="K115" s="3">
        <v>-321</v>
      </c>
      <c r="L115" s="3">
        <v>-32</v>
      </c>
      <c r="M115" s="3">
        <v>-49</v>
      </c>
      <c r="N115" s="3">
        <v>29</v>
      </c>
      <c r="O115" s="3">
        <v>-118.9</v>
      </c>
      <c r="P115" s="3">
        <v>26.24</v>
      </c>
      <c r="Q115" s="3">
        <v>26.34</v>
      </c>
      <c r="R115" s="3">
        <v>-56.74</v>
      </c>
      <c r="S115" s="3">
        <v>348.9</v>
      </c>
      <c r="T115" s="3">
        <v>-146.1</v>
      </c>
      <c r="U115" s="3">
        <v>-175.3</v>
      </c>
      <c r="V115" s="3">
        <v>-21.41</v>
      </c>
      <c r="W115" s="3">
        <v>-110.3</v>
      </c>
      <c r="X115" s="3">
        <v>-41.36</v>
      </c>
      <c r="Y115" s="3">
        <v>-9.07</v>
      </c>
      <c r="Z115" s="3">
        <v>-43.81</v>
      </c>
      <c r="AA115" s="3">
        <v>-38.67</v>
      </c>
      <c r="AB115" s="3">
        <v>-56.44</v>
      </c>
      <c r="AC115" s="3">
        <v>-5.2</v>
      </c>
    </row>
    <row r="116" spans="1:29" x14ac:dyDescent="0.2">
      <c r="A116" s="3" t="s">
        <v>121</v>
      </c>
      <c r="B116" s="4">
        <v>-8281</v>
      </c>
      <c r="C116" s="4">
        <v>-4781</v>
      </c>
      <c r="D116" s="3">
        <v>-98</v>
      </c>
      <c r="E116" s="4">
        <v>-2554</v>
      </c>
      <c r="F116" s="3">
        <v>-774</v>
      </c>
      <c r="G116" s="3">
        <v>-524</v>
      </c>
      <c r="H116" s="3">
        <v>597</v>
      </c>
      <c r="I116" s="3">
        <v>-776</v>
      </c>
      <c r="J116" s="3">
        <v>0</v>
      </c>
      <c r="K116" s="3">
        <v>-375</v>
      </c>
      <c r="L116" s="3">
        <v>66</v>
      </c>
      <c r="M116" s="3">
        <v>-95</v>
      </c>
      <c r="N116" s="3">
        <v>25</v>
      </c>
      <c r="O116" s="3">
        <v>-78.95</v>
      </c>
      <c r="P116" s="3">
        <v>18.88</v>
      </c>
      <c r="Q116" s="3">
        <v>-14.13</v>
      </c>
      <c r="R116" s="3">
        <v>204.7</v>
      </c>
      <c r="S116" s="3">
        <v>-177.3</v>
      </c>
      <c r="T116" s="3">
        <v>-3.69</v>
      </c>
      <c r="U116" s="3">
        <v>-91.39</v>
      </c>
      <c r="V116" s="3">
        <v>60.92</v>
      </c>
      <c r="W116" s="3">
        <v>-80.91</v>
      </c>
      <c r="X116" s="3">
        <v>-85.13</v>
      </c>
      <c r="Y116" s="3">
        <v>68.83</v>
      </c>
      <c r="Z116" s="3">
        <v>-123.5</v>
      </c>
      <c r="AA116" s="3">
        <v>-51.91</v>
      </c>
      <c r="AB116" s="3">
        <v>-9.84</v>
      </c>
      <c r="AC116" s="3">
        <v>-28.1</v>
      </c>
    </row>
    <row r="117" spans="1:29" ht="17" customHeight="1" x14ac:dyDescent="0.2">
      <c r="A117" s="3" t="s">
        <v>127</v>
      </c>
      <c r="B117" s="4">
        <v>4811</v>
      </c>
      <c r="C117" s="4">
        <v>3357</v>
      </c>
      <c r="D117" s="4">
        <v>1531</v>
      </c>
      <c r="E117" s="3">
        <v>-551</v>
      </c>
      <c r="F117" s="3">
        <v>568</v>
      </c>
      <c r="G117" s="3">
        <v>312</v>
      </c>
      <c r="H117" s="3">
        <v>194</v>
      </c>
      <c r="I117" s="3">
        <v>-135</v>
      </c>
      <c r="J117" s="3">
        <v>90</v>
      </c>
      <c r="K117" s="3">
        <v>184</v>
      </c>
      <c r="L117" s="3">
        <v>-11</v>
      </c>
      <c r="M117" s="3">
        <v>-27</v>
      </c>
      <c r="N117" s="3">
        <v>-20</v>
      </c>
      <c r="O117" s="3">
        <v>10.88</v>
      </c>
      <c r="P117" s="3">
        <v>35.71</v>
      </c>
      <c r="Q117" s="3">
        <v>-69.790000000000006</v>
      </c>
      <c r="R117" s="3">
        <v>119.4</v>
      </c>
      <c r="S117" s="3">
        <v>-283.2</v>
      </c>
      <c r="T117" s="3">
        <v>0</v>
      </c>
      <c r="U117" s="3">
        <v>0</v>
      </c>
      <c r="V117" s="3">
        <v>0</v>
      </c>
      <c r="W117" s="3">
        <v>0</v>
      </c>
      <c r="X117" s="3">
        <v>0</v>
      </c>
      <c r="Y117" s="3">
        <v>0</v>
      </c>
      <c r="Z117" s="3">
        <v>0</v>
      </c>
      <c r="AA117" s="3">
        <v>0</v>
      </c>
      <c r="AB117" s="3">
        <v>0</v>
      </c>
      <c r="AC117" s="3">
        <v>0</v>
      </c>
    </row>
    <row r="118" spans="1:29" x14ac:dyDescent="0.2">
      <c r="A118" s="3" t="s">
        <v>248</v>
      </c>
      <c r="B118" s="4">
        <v>6218</v>
      </c>
      <c r="C118" s="4">
        <v>5104</v>
      </c>
      <c r="D118" s="4">
        <v>1017</v>
      </c>
      <c r="E118" s="3">
        <v>76</v>
      </c>
      <c r="F118" s="3">
        <v>-942</v>
      </c>
      <c r="G118" s="3">
        <v>59</v>
      </c>
      <c r="H118" s="3">
        <v>159</v>
      </c>
      <c r="I118" s="3">
        <v>203</v>
      </c>
      <c r="J118" s="3">
        <v>535</v>
      </c>
      <c r="K118" s="3">
        <v>-167</v>
      </c>
      <c r="L118" s="3">
        <v>-74</v>
      </c>
      <c r="M118" s="3">
        <v>-32</v>
      </c>
      <c r="N118" s="3">
        <v>-21</v>
      </c>
      <c r="O118" s="3">
        <v>74.680000000000007</v>
      </c>
      <c r="P118" s="3">
        <v>-78.680000000000007</v>
      </c>
      <c r="Q118" s="3">
        <v>209.3</v>
      </c>
      <c r="R118" s="3">
        <v>-130.9</v>
      </c>
      <c r="S118" s="3">
        <v>78.3</v>
      </c>
      <c r="T118" s="3">
        <v>319.7</v>
      </c>
      <c r="U118" s="3">
        <v>133.80000000000001</v>
      </c>
      <c r="V118" s="3">
        <v>-22.71</v>
      </c>
      <c r="W118" s="3">
        <v>95.04</v>
      </c>
      <c r="X118" s="3">
        <v>-54.29</v>
      </c>
      <c r="Y118" s="3">
        <v>-24.36</v>
      </c>
      <c r="Z118" s="3">
        <v>68.86</v>
      </c>
      <c r="AA118" s="3">
        <v>207.3</v>
      </c>
      <c r="AB118" s="3">
        <v>23.5</v>
      </c>
      <c r="AC118" s="3">
        <v>20.7</v>
      </c>
    </row>
    <row r="119" spans="1:29" x14ac:dyDescent="0.2">
      <c r="A119" s="3" t="s">
        <v>270</v>
      </c>
      <c r="B119" s="3">
        <v>0</v>
      </c>
      <c r="C119" s="3">
        <v>0</v>
      </c>
      <c r="D119" s="3">
        <v>0</v>
      </c>
      <c r="E119" s="3">
        <v>0</v>
      </c>
      <c r="F119" s="3">
        <v>0</v>
      </c>
      <c r="G119" s="3">
        <v>0</v>
      </c>
      <c r="H119" s="3">
        <v>0</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0</v>
      </c>
    </row>
    <row r="120" spans="1:29" x14ac:dyDescent="0.2">
      <c r="A120" s="39" t="s">
        <v>271</v>
      </c>
      <c r="B120" s="4">
        <v>-23887</v>
      </c>
      <c r="C120" s="4">
        <v>-20421</v>
      </c>
      <c r="D120" s="4">
        <v>-10566</v>
      </c>
      <c r="E120" s="4">
        <v>7375</v>
      </c>
      <c r="F120" s="4">
        <v>-9830</v>
      </c>
      <c r="G120" s="4">
        <v>-19675</v>
      </c>
      <c r="H120" s="4">
        <v>6145</v>
      </c>
      <c r="I120" s="4">
        <v>-4097</v>
      </c>
      <c r="J120" s="4">
        <v>1278</v>
      </c>
      <c r="K120" s="3">
        <v>-793</v>
      </c>
      <c r="L120" s="3">
        <v>-400</v>
      </c>
      <c r="M120" s="3">
        <v>-727</v>
      </c>
      <c r="N120" s="3">
        <v>-806</v>
      </c>
      <c r="O120" s="3">
        <v>-744</v>
      </c>
      <c r="P120" s="4">
        <v>-1143</v>
      </c>
      <c r="Q120" s="3">
        <v>-649.70000000000005</v>
      </c>
      <c r="R120" s="3">
        <v>-519.29999999999995</v>
      </c>
      <c r="S120" s="3">
        <v>-209.4</v>
      </c>
      <c r="T120" s="3">
        <v>-761.3</v>
      </c>
      <c r="U120" s="3">
        <v>-540.79999999999995</v>
      </c>
      <c r="V120" s="3">
        <v>-41.79</v>
      </c>
      <c r="W120" s="3">
        <v>-152</v>
      </c>
      <c r="X120" s="3">
        <v>88.04</v>
      </c>
      <c r="Y120" s="3">
        <v>-277.3</v>
      </c>
      <c r="Z120" s="3">
        <v>-601.20000000000005</v>
      </c>
      <c r="AA120" s="3">
        <v>-60.83</v>
      </c>
      <c r="AB120" s="3">
        <v>-11.59</v>
      </c>
      <c r="AC120" s="3">
        <v>-7.9</v>
      </c>
    </row>
    <row r="121" spans="1:29" x14ac:dyDescent="0.2">
      <c r="A121" s="39" t="s">
        <v>272</v>
      </c>
      <c r="B121" s="4">
        <v>-5012</v>
      </c>
      <c r="C121" s="4">
        <v>-3236</v>
      </c>
      <c r="D121" s="4">
        <v>-1069</v>
      </c>
      <c r="E121" s="4">
        <v>-1833</v>
      </c>
      <c r="F121" s="3">
        <v>-976</v>
      </c>
      <c r="G121" s="4">
        <v>-1128</v>
      </c>
      <c r="H121" s="3">
        <v>-489</v>
      </c>
      <c r="I121" s="3">
        <v>-600</v>
      </c>
      <c r="J121" s="3">
        <v>-593</v>
      </c>
      <c r="K121" s="3">
        <v>-176</v>
      </c>
      <c r="L121" s="3">
        <v>-86</v>
      </c>
      <c r="M121" s="3">
        <v>-122</v>
      </c>
      <c r="N121" s="3">
        <v>-255</v>
      </c>
      <c r="O121" s="3">
        <v>-183.3</v>
      </c>
      <c r="P121" s="3">
        <v>-138.69999999999999</v>
      </c>
      <c r="Q121" s="3">
        <v>-97.89</v>
      </c>
      <c r="R121" s="3">
        <v>-77.599999999999994</v>
      </c>
      <c r="S121" s="3">
        <v>-407.7</v>
      </c>
      <c r="T121" s="3">
        <v>-187.7</v>
      </c>
      <c r="U121" s="3">
        <v>-145.30000000000001</v>
      </c>
      <c r="V121" s="3">
        <v>-79.599999999999994</v>
      </c>
      <c r="W121" s="3">
        <v>-67.260000000000005</v>
      </c>
      <c r="X121" s="3">
        <v>-127.6</v>
      </c>
      <c r="Y121" s="3">
        <v>-63.12</v>
      </c>
      <c r="Z121" s="3">
        <v>-161.1</v>
      </c>
      <c r="AA121" s="3">
        <v>-36.33</v>
      </c>
      <c r="AB121" s="3">
        <v>-11.59</v>
      </c>
      <c r="AC121" s="3">
        <v>-7.9</v>
      </c>
    </row>
    <row r="122" spans="1:29" x14ac:dyDescent="0.2">
      <c r="A122" s="39" t="s">
        <v>273</v>
      </c>
      <c r="B122" s="4">
        <v>-1367</v>
      </c>
      <c r="C122" s="4">
        <v>-1007</v>
      </c>
      <c r="D122" s="3">
        <v>-83</v>
      </c>
      <c r="E122" s="3">
        <v>-49</v>
      </c>
      <c r="F122" s="3">
        <v>-263</v>
      </c>
      <c r="G122" s="4">
        <v>-8524</v>
      </c>
      <c r="H122" s="3">
        <v>-4</v>
      </c>
      <c r="I122" s="3">
        <v>0</v>
      </c>
      <c r="J122" s="3">
        <v>0</v>
      </c>
      <c r="K122" s="3">
        <v>0</v>
      </c>
      <c r="L122" s="3">
        <v>0</v>
      </c>
      <c r="M122" s="3">
        <v>0</v>
      </c>
      <c r="N122" s="3">
        <v>-17</v>
      </c>
      <c r="O122" s="3">
        <v>0</v>
      </c>
      <c r="P122" s="3">
        <v>-348.9</v>
      </c>
      <c r="Q122" s="3">
        <v>0</v>
      </c>
      <c r="R122" s="3">
        <v>0</v>
      </c>
      <c r="S122" s="3">
        <v>-27.95</v>
      </c>
      <c r="T122" s="3">
        <v>-75.540000000000006</v>
      </c>
      <c r="U122" s="3">
        <v>-401.8</v>
      </c>
      <c r="V122" s="3">
        <v>-12.13</v>
      </c>
      <c r="W122" s="3">
        <v>0</v>
      </c>
      <c r="X122" s="3">
        <v>-71.3</v>
      </c>
      <c r="Y122" s="3">
        <v>-3.9</v>
      </c>
      <c r="Z122" s="3">
        <v>0</v>
      </c>
      <c r="AA122" s="3">
        <v>0</v>
      </c>
      <c r="AB122" s="3">
        <v>0</v>
      </c>
      <c r="AC122" s="3">
        <v>0</v>
      </c>
    </row>
    <row r="123" spans="1:29" x14ac:dyDescent="0.2">
      <c r="A123" s="39" t="s">
        <v>274</v>
      </c>
      <c r="B123" s="4">
        <v>-27833</v>
      </c>
      <c r="C123" s="4">
        <v>-28061</v>
      </c>
      <c r="D123" s="4">
        <v>-19073</v>
      </c>
      <c r="E123" s="4">
        <v>-11982</v>
      </c>
      <c r="F123" s="4">
        <v>-24811</v>
      </c>
      <c r="G123" s="4">
        <v>-19342</v>
      </c>
      <c r="H123" s="4">
        <v>-1471</v>
      </c>
      <c r="I123" s="4">
        <v>-11157</v>
      </c>
      <c r="J123" s="3">
        <v>-72</v>
      </c>
      <c r="K123" s="4">
        <v>-3139</v>
      </c>
      <c r="L123" s="4">
        <v>-3483</v>
      </c>
      <c r="M123" s="4">
        <v>-2862</v>
      </c>
      <c r="N123" s="4">
        <v>-3066</v>
      </c>
      <c r="O123" s="4">
        <v>-2378</v>
      </c>
      <c r="P123" s="4">
        <v>-1965</v>
      </c>
      <c r="Q123" s="4">
        <v>-1720</v>
      </c>
      <c r="R123" s="4">
        <v>-1194</v>
      </c>
      <c r="S123" s="4">
        <v>-1000</v>
      </c>
      <c r="T123" s="4">
        <v>-1252</v>
      </c>
      <c r="U123" s="3">
        <v>-220.8</v>
      </c>
      <c r="V123" s="3">
        <v>-338.1</v>
      </c>
      <c r="W123" s="3">
        <v>-313.8</v>
      </c>
      <c r="X123" s="3">
        <v>-734.6</v>
      </c>
      <c r="Y123" s="3">
        <v>-639.5</v>
      </c>
      <c r="Z123" s="3">
        <v>-472.9</v>
      </c>
      <c r="AA123" s="3">
        <v>0</v>
      </c>
      <c r="AB123" s="3">
        <v>0</v>
      </c>
      <c r="AC123" s="3">
        <v>0</v>
      </c>
    </row>
    <row r="124" spans="1:29" x14ac:dyDescent="0.2">
      <c r="A124" s="39" t="s">
        <v>275</v>
      </c>
      <c r="B124" s="4">
        <v>10303</v>
      </c>
      <c r="C124" s="4">
        <v>11861</v>
      </c>
      <c r="D124" s="4">
        <v>9783</v>
      </c>
      <c r="E124" s="4">
        <v>21239</v>
      </c>
      <c r="F124" s="4">
        <v>16220</v>
      </c>
      <c r="G124" s="4">
        <v>9319</v>
      </c>
      <c r="H124" s="4">
        <v>8109</v>
      </c>
      <c r="I124" s="4">
        <v>7660</v>
      </c>
      <c r="J124" s="4">
        <v>1941</v>
      </c>
      <c r="K124" s="4">
        <v>2515</v>
      </c>
      <c r="L124" s="4">
        <v>3138</v>
      </c>
      <c r="M124" s="4">
        <v>2237</v>
      </c>
      <c r="N124" s="4">
        <v>2512</v>
      </c>
      <c r="O124" s="4">
        <v>1817</v>
      </c>
      <c r="P124" s="4">
        <v>1311</v>
      </c>
      <c r="Q124" s="4">
        <v>1170</v>
      </c>
      <c r="R124" s="3">
        <v>752.4</v>
      </c>
      <c r="S124" s="4">
        <v>1227</v>
      </c>
      <c r="T124" s="3">
        <v>753.8</v>
      </c>
      <c r="U124" s="3">
        <v>227.1</v>
      </c>
      <c r="V124" s="3">
        <v>397.7</v>
      </c>
      <c r="W124" s="3">
        <v>229.1</v>
      </c>
      <c r="X124" s="4">
        <v>1022</v>
      </c>
      <c r="Y124" s="3">
        <v>422.2</v>
      </c>
      <c r="Z124" s="3">
        <v>15.32</v>
      </c>
      <c r="AA124" s="3">
        <v>0</v>
      </c>
      <c r="AB124" s="3">
        <v>0</v>
      </c>
      <c r="AC124" s="3">
        <v>0</v>
      </c>
    </row>
    <row r="125" spans="1:29" x14ac:dyDescent="0.2">
      <c r="A125" s="39" t="s">
        <v>155</v>
      </c>
      <c r="B125" s="3">
        <v>22</v>
      </c>
      <c r="C125" s="3">
        <v>22</v>
      </c>
      <c r="D125" s="3">
        <v>-124</v>
      </c>
      <c r="E125" s="3">
        <v>0</v>
      </c>
      <c r="F125" s="3">
        <v>0</v>
      </c>
      <c r="G125" s="3">
        <v>0</v>
      </c>
      <c r="H125" s="3">
        <v>0</v>
      </c>
      <c r="I125" s="3">
        <v>0</v>
      </c>
      <c r="J125" s="3">
        <v>2</v>
      </c>
      <c r="K125" s="3">
        <v>7</v>
      </c>
      <c r="L125" s="3">
        <v>31</v>
      </c>
      <c r="M125" s="3">
        <v>20</v>
      </c>
      <c r="N125" s="3">
        <v>20</v>
      </c>
      <c r="O125" s="3">
        <v>0.35199999999999998</v>
      </c>
      <c r="P125" s="3">
        <v>-1.59</v>
      </c>
      <c r="Q125" s="3">
        <v>-2.16</v>
      </c>
      <c r="R125" s="3">
        <v>-0.218</v>
      </c>
      <c r="S125" s="3">
        <v>-0.442</v>
      </c>
      <c r="T125" s="3">
        <v>0</v>
      </c>
      <c r="U125" s="3">
        <v>0</v>
      </c>
      <c r="V125" s="3">
        <v>-9.68</v>
      </c>
      <c r="W125" s="3">
        <v>0</v>
      </c>
      <c r="X125" s="3">
        <v>0</v>
      </c>
      <c r="Y125" s="3">
        <v>7</v>
      </c>
      <c r="Z125" s="3">
        <v>17.5</v>
      </c>
      <c r="AA125" s="3">
        <v>-24.5</v>
      </c>
      <c r="AB125" s="3">
        <v>0</v>
      </c>
      <c r="AC125" s="3">
        <v>0</v>
      </c>
    </row>
    <row r="126" spans="1:29" x14ac:dyDescent="0.2">
      <c r="A126" s="39" t="s">
        <v>276</v>
      </c>
      <c r="B126" s="4">
        <v>-50080</v>
      </c>
      <c r="C126" s="4">
        <v>-42359</v>
      </c>
      <c r="D126" s="4">
        <v>-13633</v>
      </c>
      <c r="E126" s="4">
        <v>-11617</v>
      </c>
      <c r="F126" s="4">
        <v>1865</v>
      </c>
      <c r="G126" s="4">
        <v>3804</v>
      </c>
      <c r="H126" s="3">
        <v>-792</v>
      </c>
      <c r="I126" s="4">
        <v>-2866</v>
      </c>
      <c r="J126" s="4">
        <v>-2544</v>
      </c>
      <c r="K126" s="3">
        <v>291</v>
      </c>
      <c r="L126" s="3">
        <v>-676</v>
      </c>
      <c r="M126" s="3">
        <v>-834</v>
      </c>
      <c r="N126" s="3">
        <v>390</v>
      </c>
      <c r="O126" s="3">
        <v>-15.27</v>
      </c>
      <c r="P126" s="3">
        <v>236.7</v>
      </c>
      <c r="Q126" s="3">
        <v>192</v>
      </c>
      <c r="R126" s="3">
        <v>61.06</v>
      </c>
      <c r="S126" s="3">
        <v>-349.3</v>
      </c>
      <c r="T126" s="3">
        <v>-326.3</v>
      </c>
      <c r="U126" s="3">
        <v>-53.63</v>
      </c>
      <c r="V126" s="3">
        <v>-61.38</v>
      </c>
      <c r="W126" s="3">
        <v>13.84</v>
      </c>
      <c r="X126" s="3">
        <v>-270.3</v>
      </c>
      <c r="Y126" s="3">
        <v>26.29</v>
      </c>
      <c r="Z126" s="3">
        <v>99.09</v>
      </c>
      <c r="AA126" s="3">
        <v>405.6</v>
      </c>
      <c r="AB126" s="3">
        <v>7.02</v>
      </c>
      <c r="AC126" s="3">
        <v>52.1</v>
      </c>
    </row>
    <row r="127" spans="1:29" x14ac:dyDescent="0.2">
      <c r="A127" s="39" t="s">
        <v>277</v>
      </c>
      <c r="B127" s="3">
        <v>0</v>
      </c>
      <c r="C127" s="4">
        <v>-1250</v>
      </c>
      <c r="D127" s="4">
        <v>-1250</v>
      </c>
      <c r="E127" s="3">
        <v>0</v>
      </c>
      <c r="F127" s="4">
        <v>3977</v>
      </c>
      <c r="G127" s="4">
        <v>4968</v>
      </c>
      <c r="H127" s="3">
        <v>0</v>
      </c>
      <c r="I127" s="3">
        <v>-16</v>
      </c>
      <c r="J127" s="3">
        <v>-812</v>
      </c>
      <c r="K127" s="3">
        <v>-673</v>
      </c>
      <c r="L127" s="3">
        <v>0</v>
      </c>
      <c r="M127" s="3">
        <v>0</v>
      </c>
      <c r="N127" s="4">
        <v>1476</v>
      </c>
      <c r="O127" s="3">
        <v>-2.0499999999999998</v>
      </c>
      <c r="P127" s="3">
        <v>-1.61</v>
      </c>
      <c r="Q127" s="3">
        <v>-0.57099999999999995</v>
      </c>
      <c r="R127" s="3">
        <v>-0.92900000000000005</v>
      </c>
      <c r="S127" s="3">
        <v>0</v>
      </c>
      <c r="T127" s="3">
        <v>0</v>
      </c>
      <c r="U127" s="3">
        <v>0</v>
      </c>
      <c r="V127" s="3">
        <v>-0.85599999999999998</v>
      </c>
      <c r="W127" s="3">
        <v>-4.01</v>
      </c>
      <c r="X127" s="3">
        <v>-8.0500000000000007</v>
      </c>
      <c r="Y127" s="3">
        <v>-4.93</v>
      </c>
      <c r="Z127" s="3">
        <v>-2.46</v>
      </c>
      <c r="AA127" s="3">
        <v>289.10000000000002</v>
      </c>
      <c r="AB127" s="3">
        <v>-6.4</v>
      </c>
      <c r="AC127" s="3">
        <v>14.2</v>
      </c>
    </row>
    <row r="128" spans="1:29" x14ac:dyDescent="0.2">
      <c r="A128" s="39" t="s">
        <v>278</v>
      </c>
      <c r="B128" s="3">
        <v>0</v>
      </c>
      <c r="C128" s="3">
        <v>0</v>
      </c>
      <c r="D128" s="3">
        <v>0</v>
      </c>
      <c r="E128" s="3">
        <v>0</v>
      </c>
      <c r="F128" s="3">
        <v>281</v>
      </c>
      <c r="G128" s="3">
        <v>194</v>
      </c>
      <c r="H128" s="3">
        <v>149</v>
      </c>
      <c r="I128" s="3">
        <v>0</v>
      </c>
      <c r="J128" s="3">
        <v>0</v>
      </c>
      <c r="K128" s="3">
        <v>0</v>
      </c>
      <c r="L128" s="3">
        <v>0</v>
      </c>
      <c r="M128" s="3">
        <v>0</v>
      </c>
      <c r="N128" s="3">
        <v>0</v>
      </c>
      <c r="O128" s="3">
        <v>64.94</v>
      </c>
      <c r="P128" s="3">
        <v>195.9</v>
      </c>
      <c r="Q128" s="3">
        <v>177.3</v>
      </c>
      <c r="R128" s="3">
        <v>138</v>
      </c>
      <c r="S128" s="3">
        <v>73.55</v>
      </c>
      <c r="T128" s="3">
        <v>226</v>
      </c>
      <c r="U128" s="3">
        <v>221.2</v>
      </c>
      <c r="V128" s="3">
        <v>127.5</v>
      </c>
      <c r="W128" s="3">
        <v>42.5</v>
      </c>
      <c r="X128" s="3">
        <v>37.76</v>
      </c>
      <c r="Y128" s="3">
        <v>25.49</v>
      </c>
      <c r="Z128" s="3">
        <v>90.38</v>
      </c>
      <c r="AA128" s="3">
        <v>116.6</v>
      </c>
      <c r="AB128" s="3">
        <v>13.42</v>
      </c>
      <c r="AC128" s="3">
        <v>37.9</v>
      </c>
    </row>
    <row r="129" spans="1:29" x14ac:dyDescent="0.2">
      <c r="A129" s="39" t="s">
        <v>279</v>
      </c>
      <c r="B129" s="4">
        <v>-42623</v>
      </c>
      <c r="C129" s="4">
        <v>-33706</v>
      </c>
      <c r="D129" s="4">
        <v>-9533</v>
      </c>
      <c r="E129" s="4">
        <v>-10039</v>
      </c>
      <c r="F129" s="3">
        <v>0</v>
      </c>
      <c r="G129" s="3">
        <v>0</v>
      </c>
      <c r="H129" s="3">
        <v>0</v>
      </c>
      <c r="I129" s="4">
        <v>-1579</v>
      </c>
      <c r="J129" s="3">
        <v>-909</v>
      </c>
      <c r="K129" s="3">
        <v>-739</v>
      </c>
      <c r="L129" s="3">
        <v>-587</v>
      </c>
      <c r="M129" s="3">
        <v>-814</v>
      </c>
      <c r="N129" s="3">
        <v>-887</v>
      </c>
      <c r="O129" s="3">
        <v>-100</v>
      </c>
      <c r="P129" s="3">
        <v>0</v>
      </c>
      <c r="Q129" s="3">
        <v>0</v>
      </c>
      <c r="R129" s="3">
        <v>0</v>
      </c>
      <c r="S129" s="3">
        <v>-423.6</v>
      </c>
      <c r="T129" s="3">
        <v>-552.5</v>
      </c>
      <c r="U129" s="3">
        <v>-275</v>
      </c>
      <c r="V129" s="3">
        <v>-188.5</v>
      </c>
      <c r="W129" s="3">
        <v>-24.64</v>
      </c>
      <c r="X129" s="3">
        <v>0</v>
      </c>
      <c r="Y129" s="3">
        <v>0</v>
      </c>
      <c r="Z129" s="3">
        <v>0</v>
      </c>
      <c r="AA129" s="3">
        <v>0</v>
      </c>
      <c r="AB129" s="3">
        <v>0</v>
      </c>
      <c r="AC129" s="3">
        <v>0</v>
      </c>
    </row>
    <row r="130" spans="1:29" x14ac:dyDescent="0.2">
      <c r="A130" s="39" t="s">
        <v>280</v>
      </c>
      <c r="B130" s="3">
        <v>-978</v>
      </c>
      <c r="C130" s="3">
        <v>-834</v>
      </c>
      <c r="D130" s="3">
        <v>-395</v>
      </c>
      <c r="E130" s="3">
        <v>-398</v>
      </c>
      <c r="F130" s="3">
        <v>-399</v>
      </c>
      <c r="G130" s="3">
        <v>-395</v>
      </c>
      <c r="H130" s="3">
        <v>-390</v>
      </c>
      <c r="I130" s="3">
        <v>-371</v>
      </c>
      <c r="J130" s="3">
        <v>-341</v>
      </c>
      <c r="K130" s="3">
        <v>-261</v>
      </c>
      <c r="L130" s="3">
        <v>-213</v>
      </c>
      <c r="M130" s="3">
        <v>-186</v>
      </c>
      <c r="N130" s="3">
        <v>-181</v>
      </c>
      <c r="O130" s="3">
        <v>-46.87</v>
      </c>
      <c r="P130" s="3">
        <v>0</v>
      </c>
      <c r="Q130" s="3">
        <v>0</v>
      </c>
      <c r="R130" s="3">
        <v>0</v>
      </c>
      <c r="S130" s="3">
        <v>0</v>
      </c>
      <c r="T130" s="3">
        <v>0</v>
      </c>
      <c r="U130" s="3">
        <v>0</v>
      </c>
      <c r="V130" s="3">
        <v>0</v>
      </c>
      <c r="W130" s="3">
        <v>0</v>
      </c>
      <c r="X130" s="3">
        <v>0</v>
      </c>
      <c r="Y130" s="3">
        <v>0</v>
      </c>
      <c r="Z130" s="3">
        <v>0</v>
      </c>
      <c r="AA130" s="3">
        <v>0</v>
      </c>
      <c r="AB130" s="3">
        <v>0</v>
      </c>
      <c r="AC130" s="3">
        <v>0</v>
      </c>
    </row>
    <row r="131" spans="1:29" x14ac:dyDescent="0.2">
      <c r="A131" s="39" t="s">
        <v>161</v>
      </c>
      <c r="B131" s="4">
        <v>-6479</v>
      </c>
      <c r="C131" s="4">
        <v>-6569</v>
      </c>
      <c r="D131" s="4">
        <v>-2455</v>
      </c>
      <c r="E131" s="4">
        <v>-1180</v>
      </c>
      <c r="F131" s="4">
        <v>-1994</v>
      </c>
      <c r="G131" s="3">
        <v>-963</v>
      </c>
      <c r="H131" s="3">
        <v>-551</v>
      </c>
      <c r="I131" s="3">
        <v>-900</v>
      </c>
      <c r="J131" s="3">
        <v>-482</v>
      </c>
      <c r="K131" s="4">
        <v>1964</v>
      </c>
      <c r="L131" s="3">
        <v>127</v>
      </c>
      <c r="M131" s="3">
        <v>168.9</v>
      </c>
      <c r="N131" s="3">
        <v>-18</v>
      </c>
      <c r="O131" s="3">
        <v>133.6</v>
      </c>
      <c r="P131" s="3">
        <v>42.47</v>
      </c>
      <c r="Q131" s="3">
        <v>15.32</v>
      </c>
      <c r="R131" s="3">
        <v>-76.040000000000006</v>
      </c>
      <c r="S131" s="3">
        <v>0.81499999999999995</v>
      </c>
      <c r="T131" s="3">
        <v>0.22</v>
      </c>
      <c r="U131" s="3">
        <v>0.188</v>
      </c>
      <c r="V131" s="3">
        <v>0.49099999999999999</v>
      </c>
      <c r="W131" s="3">
        <v>0</v>
      </c>
      <c r="X131" s="3">
        <v>-300</v>
      </c>
      <c r="Y131" s="3">
        <v>5.73</v>
      </c>
      <c r="Z131" s="3">
        <v>11.17</v>
      </c>
      <c r="AA131" s="3">
        <v>0</v>
      </c>
      <c r="AB131" s="3">
        <v>0</v>
      </c>
      <c r="AC131" s="3">
        <v>0</v>
      </c>
    </row>
    <row r="132" spans="1:29" x14ac:dyDescent="0.2">
      <c r="A132" s="39" t="s">
        <v>281</v>
      </c>
      <c r="B132" s="3">
        <v>0</v>
      </c>
      <c r="C132" s="3">
        <v>0</v>
      </c>
      <c r="D132" s="3">
        <v>0</v>
      </c>
      <c r="E132" s="3">
        <v>0</v>
      </c>
      <c r="F132" s="3">
        <v>0</v>
      </c>
      <c r="G132" s="3">
        <v>0</v>
      </c>
      <c r="H132" s="3">
        <v>0</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row>
    <row r="133" spans="1:29" x14ac:dyDescent="0.2">
      <c r="A133" s="39" t="s">
        <v>282</v>
      </c>
      <c r="B133" s="4">
        <v>2532</v>
      </c>
      <c r="C133" s="4">
        <v>1309</v>
      </c>
      <c r="D133" s="4">
        <v>3891</v>
      </c>
      <c r="E133" s="4">
        <v>1399</v>
      </c>
      <c r="F133" s="4">
        <v>1143</v>
      </c>
      <c r="G133" s="4">
        <v>-10049</v>
      </c>
      <c r="H133" s="4">
        <v>10114</v>
      </c>
      <c r="I133" s="4">
        <v>-3220</v>
      </c>
      <c r="J133" s="4">
        <v>2236</v>
      </c>
      <c r="K133" s="4">
        <v>1170</v>
      </c>
      <c r="L133" s="3">
        <v>99</v>
      </c>
      <c r="M133" s="3">
        <v>-655</v>
      </c>
      <c r="N133" s="3">
        <v>419</v>
      </c>
      <c r="O133" s="3">
        <v>64.91</v>
      </c>
      <c r="P133" s="3">
        <v>2.52</v>
      </c>
      <c r="Q133" s="3">
        <v>218.1</v>
      </c>
      <c r="R133" s="3">
        <v>29.53</v>
      </c>
      <c r="S133" s="3">
        <v>-309.3</v>
      </c>
      <c r="T133" s="3">
        <v>182.6</v>
      </c>
      <c r="U133" s="3">
        <v>-7.34</v>
      </c>
      <c r="V133" s="3">
        <v>343.2</v>
      </c>
      <c r="W133" s="3">
        <v>-5.91</v>
      </c>
      <c r="X133" s="3">
        <v>-132.6</v>
      </c>
      <c r="Y133" s="3">
        <v>13.99</v>
      </c>
      <c r="Z133" s="3">
        <v>-341.3</v>
      </c>
      <c r="AA133" s="3">
        <v>612.70000000000005</v>
      </c>
      <c r="AB133" s="3">
        <v>11.3</v>
      </c>
      <c r="AC133" s="3">
        <v>42.3</v>
      </c>
    </row>
    <row r="134" spans="1:29" x14ac:dyDescent="0.2">
      <c r="A134" s="39" t="s">
        <v>283</v>
      </c>
      <c r="B134" s="4">
        <v>9107</v>
      </c>
      <c r="C134" s="4">
        <v>7280</v>
      </c>
      <c r="D134" s="4">
        <v>3389</v>
      </c>
      <c r="E134" s="4">
        <v>1990</v>
      </c>
      <c r="F134" s="3">
        <v>847</v>
      </c>
      <c r="G134" s="4">
        <v>10896</v>
      </c>
      <c r="H134" s="3">
        <v>782</v>
      </c>
      <c r="I134" s="4">
        <v>4002</v>
      </c>
      <c r="J134" s="4">
        <v>1766</v>
      </c>
      <c r="K134" s="3">
        <v>596</v>
      </c>
      <c r="L134" s="3">
        <v>497</v>
      </c>
      <c r="M134" s="4">
        <v>1152</v>
      </c>
      <c r="N134" s="3">
        <v>733</v>
      </c>
      <c r="O134" s="3">
        <v>667.9</v>
      </c>
      <c r="P134" s="3">
        <v>665.4</v>
      </c>
      <c r="Q134" s="3">
        <v>447.2</v>
      </c>
      <c r="R134" s="3">
        <v>417.7</v>
      </c>
      <c r="S134" s="3">
        <v>727</v>
      </c>
      <c r="T134" s="3">
        <v>544.4</v>
      </c>
      <c r="U134" s="3">
        <v>551.79999999999995</v>
      </c>
      <c r="V134" s="3">
        <v>208.5</v>
      </c>
      <c r="W134" s="3">
        <v>214.4</v>
      </c>
      <c r="X134" s="3">
        <v>347</v>
      </c>
      <c r="Y134" s="3">
        <v>333</v>
      </c>
      <c r="Z134" s="3">
        <v>674.3</v>
      </c>
      <c r="AA134" s="3">
        <v>61.56</v>
      </c>
      <c r="AB134" s="3">
        <v>50.26</v>
      </c>
      <c r="AC134" s="3">
        <v>8</v>
      </c>
    </row>
    <row r="135" spans="1:29" x14ac:dyDescent="0.2">
      <c r="A135" s="39" t="s">
        <v>284</v>
      </c>
      <c r="B135" s="4">
        <v>11639</v>
      </c>
      <c r="C135" s="4">
        <v>8589</v>
      </c>
      <c r="D135" s="4">
        <v>7280</v>
      </c>
      <c r="E135" s="4">
        <v>3389</v>
      </c>
      <c r="F135" s="4">
        <v>1990</v>
      </c>
      <c r="G135" s="3">
        <v>847</v>
      </c>
      <c r="H135" s="4">
        <v>10896</v>
      </c>
      <c r="I135" s="3">
        <v>782</v>
      </c>
      <c r="J135" s="4">
        <v>4002</v>
      </c>
      <c r="K135" s="4">
        <v>1766</v>
      </c>
      <c r="L135" s="3">
        <v>596</v>
      </c>
      <c r="M135" s="3">
        <v>497</v>
      </c>
      <c r="N135" s="4">
        <v>1152</v>
      </c>
      <c r="O135" s="3">
        <v>732.8</v>
      </c>
      <c r="P135" s="3">
        <v>667.9</v>
      </c>
      <c r="Q135" s="3">
        <v>665.4</v>
      </c>
      <c r="R135" s="3">
        <v>447.2</v>
      </c>
      <c r="S135" s="3">
        <v>417.7</v>
      </c>
      <c r="T135" s="3">
        <v>727</v>
      </c>
      <c r="U135" s="3">
        <v>544.4</v>
      </c>
      <c r="V135" s="3">
        <v>551.79999999999995</v>
      </c>
      <c r="W135" s="3">
        <v>208.5</v>
      </c>
      <c r="X135" s="3">
        <v>214.4</v>
      </c>
      <c r="Y135" s="3">
        <v>347</v>
      </c>
      <c r="Z135" s="3">
        <v>333</v>
      </c>
      <c r="AA135" s="3">
        <v>674.3</v>
      </c>
      <c r="AB135" s="3">
        <v>61.56</v>
      </c>
      <c r="AC135" s="3">
        <v>50.3</v>
      </c>
    </row>
    <row r="136" spans="1:29" x14ac:dyDescent="0.2">
      <c r="A136" s="39" t="s">
        <v>6</v>
      </c>
      <c r="B136" s="4">
        <v>72023</v>
      </c>
      <c r="C136" s="4">
        <v>60853</v>
      </c>
      <c r="D136" s="4">
        <v>27021</v>
      </c>
      <c r="E136" s="4">
        <v>3808</v>
      </c>
      <c r="F136" s="4">
        <v>8132</v>
      </c>
      <c r="G136" s="4">
        <v>4694</v>
      </c>
      <c r="H136" s="4">
        <v>4272</v>
      </c>
      <c r="I136" s="4">
        <v>3143</v>
      </c>
      <c r="J136" s="4">
        <v>2909</v>
      </c>
      <c r="K136" s="4">
        <v>1496</v>
      </c>
      <c r="L136" s="4">
        <v>1089</v>
      </c>
      <c r="M136" s="3">
        <v>784</v>
      </c>
      <c r="N136" s="3">
        <v>580</v>
      </c>
      <c r="O136" s="3">
        <v>640.9</v>
      </c>
      <c r="P136" s="3">
        <v>770.4</v>
      </c>
      <c r="Q136" s="3">
        <v>577.9</v>
      </c>
      <c r="R136" s="3">
        <v>410.2</v>
      </c>
      <c r="S136" s="3">
        <v>-158.30000000000001</v>
      </c>
      <c r="T136" s="4">
        <v>1082</v>
      </c>
      <c r="U136" s="3">
        <v>441.9</v>
      </c>
      <c r="V136" s="3">
        <v>366.8</v>
      </c>
      <c r="W136" s="3">
        <v>64.94</v>
      </c>
      <c r="X136" s="3">
        <v>-77.930000000000007</v>
      </c>
      <c r="Y136" s="3">
        <v>201.9</v>
      </c>
      <c r="Z136" s="3">
        <v>-0.26900000000000002</v>
      </c>
      <c r="AA136" s="3">
        <v>231.6</v>
      </c>
      <c r="AB136" s="3">
        <v>4.28</v>
      </c>
      <c r="AC136" s="3">
        <v>-9.8000000000000007</v>
      </c>
    </row>
    <row r="137" spans="1:29" ht="17" customHeight="1" x14ac:dyDescent="0.2">
      <c r="A137" s="39" t="s">
        <v>153</v>
      </c>
      <c r="B137" s="4">
        <v>77035</v>
      </c>
      <c r="C137" s="4">
        <v>64089</v>
      </c>
      <c r="D137" s="4">
        <v>28090</v>
      </c>
      <c r="E137" s="4">
        <v>5641</v>
      </c>
      <c r="F137" s="4">
        <v>9108</v>
      </c>
      <c r="G137" s="4">
        <v>5822</v>
      </c>
      <c r="H137" s="4">
        <v>4761</v>
      </c>
      <c r="I137" s="4">
        <v>3743</v>
      </c>
      <c r="J137" s="4">
        <v>3502</v>
      </c>
      <c r="K137" s="4">
        <v>1672</v>
      </c>
      <c r="L137" s="4">
        <v>1175</v>
      </c>
      <c r="M137" s="3">
        <v>906</v>
      </c>
      <c r="N137" s="3">
        <v>835</v>
      </c>
      <c r="O137" s="3">
        <v>824.2</v>
      </c>
      <c r="P137" s="3">
        <v>909.2</v>
      </c>
      <c r="Q137" s="3">
        <v>675.8</v>
      </c>
      <c r="R137" s="3">
        <v>487.8</v>
      </c>
      <c r="S137" s="3">
        <v>249.4</v>
      </c>
      <c r="T137" s="4">
        <v>1270</v>
      </c>
      <c r="U137" s="3">
        <v>587.1</v>
      </c>
      <c r="V137" s="3">
        <v>446.4</v>
      </c>
      <c r="W137" s="3">
        <v>132.19999999999999</v>
      </c>
      <c r="X137" s="3">
        <v>49.68</v>
      </c>
      <c r="Y137" s="3">
        <v>265</v>
      </c>
      <c r="Z137" s="3">
        <v>160.80000000000001</v>
      </c>
      <c r="AA137" s="3">
        <v>267.89999999999998</v>
      </c>
      <c r="AB137" s="3">
        <v>15.87</v>
      </c>
      <c r="AC137" s="3">
        <v>-1.9</v>
      </c>
    </row>
    <row r="138" spans="1:29" ht="17" customHeight="1" x14ac:dyDescent="0.2">
      <c r="A138" s="39" t="s">
        <v>285</v>
      </c>
      <c r="B138" s="4">
        <v>-5012</v>
      </c>
      <c r="C138" s="4">
        <v>-3236</v>
      </c>
      <c r="D138" s="4">
        <v>-1069</v>
      </c>
      <c r="E138" s="4">
        <v>-1833</v>
      </c>
      <c r="F138" s="3">
        <v>-976</v>
      </c>
      <c r="G138" s="4">
        <v>-1128</v>
      </c>
      <c r="H138" s="3">
        <v>-489</v>
      </c>
      <c r="I138" s="3">
        <v>-600</v>
      </c>
      <c r="J138" s="3">
        <v>-593</v>
      </c>
      <c r="K138" s="3">
        <v>-176</v>
      </c>
      <c r="L138" s="3">
        <v>-86</v>
      </c>
      <c r="M138" s="3">
        <v>-122</v>
      </c>
      <c r="N138" s="3">
        <v>-255</v>
      </c>
      <c r="O138" s="3">
        <v>-183.3</v>
      </c>
      <c r="P138" s="3">
        <v>-138.69999999999999</v>
      </c>
      <c r="Q138" s="3">
        <v>-97.89</v>
      </c>
      <c r="R138" s="3">
        <v>-77.599999999999994</v>
      </c>
      <c r="S138" s="3">
        <v>-407.7</v>
      </c>
      <c r="T138" s="3">
        <v>-187.7</v>
      </c>
      <c r="U138" s="3">
        <v>-145.30000000000001</v>
      </c>
      <c r="V138" s="3">
        <v>-79.599999999999994</v>
      </c>
      <c r="W138" s="3">
        <v>-67.260000000000005</v>
      </c>
      <c r="X138" s="3">
        <v>-127.6</v>
      </c>
      <c r="Y138" s="3">
        <v>-63.12</v>
      </c>
      <c r="Z138" s="3">
        <v>-161.1</v>
      </c>
      <c r="AA138" s="3">
        <v>-36.33</v>
      </c>
      <c r="AB138" s="3">
        <v>-11.59</v>
      </c>
      <c r="AC138" s="3">
        <v>-7.9</v>
      </c>
    </row>
    <row r="152" spans="1:30" ht="16" customHeight="1" x14ac:dyDescent="0.2"/>
    <row r="153" spans="1:30" ht="16" customHeight="1" x14ac:dyDescent="0.2"/>
    <row r="155" spans="1:30" x14ac:dyDescent="0.2">
      <c r="A155" s="88" t="s">
        <v>220</v>
      </c>
      <c r="B155" s="1" t="s">
        <v>221</v>
      </c>
      <c r="C155" s="1">
        <v>2025</v>
      </c>
      <c r="D155" s="1">
        <v>2024</v>
      </c>
      <c r="E155" s="1">
        <v>2023</v>
      </c>
      <c r="F155" s="1">
        <v>2022</v>
      </c>
      <c r="G155" s="1">
        <v>2021</v>
      </c>
      <c r="H155" s="1">
        <v>2020</v>
      </c>
      <c r="I155" s="1">
        <v>2019</v>
      </c>
      <c r="J155" s="1">
        <v>2018</v>
      </c>
      <c r="K155" s="1">
        <v>2017</v>
      </c>
      <c r="L155" s="1">
        <v>2016</v>
      </c>
      <c r="M155" s="1">
        <v>2015</v>
      </c>
      <c r="N155" s="1">
        <v>2014</v>
      </c>
      <c r="O155" s="1">
        <v>2013</v>
      </c>
      <c r="P155" s="1">
        <v>2012</v>
      </c>
      <c r="Q155" s="1">
        <v>2011</v>
      </c>
      <c r="R155" s="1">
        <v>2010</v>
      </c>
      <c r="S155" s="1">
        <v>2009</v>
      </c>
      <c r="T155" s="1">
        <v>2008</v>
      </c>
      <c r="U155" s="1">
        <v>2007</v>
      </c>
      <c r="V155" s="1">
        <v>2006</v>
      </c>
      <c r="W155" s="1">
        <v>2005</v>
      </c>
      <c r="X155" s="1">
        <v>2004</v>
      </c>
      <c r="Y155" s="1">
        <v>2003</v>
      </c>
      <c r="Z155" s="1">
        <v>2002</v>
      </c>
      <c r="AA155" s="1">
        <v>2001</v>
      </c>
      <c r="AB155" s="1">
        <v>2000</v>
      </c>
      <c r="AC155" s="1">
        <v>1999</v>
      </c>
    </row>
    <row r="156" spans="1:30" x14ac:dyDescent="0.2">
      <c r="A156" s="88"/>
      <c r="B156" s="37" t="s">
        <v>222</v>
      </c>
      <c r="C156" s="38">
        <v>45688</v>
      </c>
      <c r="D156" s="38">
        <v>45688</v>
      </c>
      <c r="E156" s="38">
        <v>45688</v>
      </c>
      <c r="F156" s="38">
        <v>45688</v>
      </c>
      <c r="G156" s="38">
        <v>45688</v>
      </c>
      <c r="H156" s="38">
        <v>45688</v>
      </c>
      <c r="I156" s="38">
        <v>45688</v>
      </c>
      <c r="J156" s="38">
        <v>45688</v>
      </c>
      <c r="K156" s="38">
        <v>45688</v>
      </c>
      <c r="L156" s="38">
        <v>45688</v>
      </c>
      <c r="M156" s="38">
        <v>45688</v>
      </c>
      <c r="N156" s="38">
        <v>45688</v>
      </c>
      <c r="O156" s="38">
        <v>45688</v>
      </c>
      <c r="P156" s="38">
        <v>45688</v>
      </c>
      <c r="Q156" s="38">
        <v>45688</v>
      </c>
      <c r="R156" s="38">
        <v>45688</v>
      </c>
      <c r="S156" s="38">
        <v>45688</v>
      </c>
      <c r="T156" s="38">
        <v>45688</v>
      </c>
      <c r="U156" s="38">
        <v>45688</v>
      </c>
      <c r="V156" s="38">
        <v>45688</v>
      </c>
      <c r="W156" s="38">
        <v>45688</v>
      </c>
      <c r="X156" s="38">
        <v>45688</v>
      </c>
      <c r="Y156" s="38">
        <v>45688</v>
      </c>
      <c r="Z156" s="38">
        <v>45688</v>
      </c>
      <c r="AA156" s="38">
        <v>45688</v>
      </c>
      <c r="AB156" s="38">
        <v>45688</v>
      </c>
      <c r="AC156" s="38">
        <v>45688</v>
      </c>
    </row>
    <row r="157" spans="1:30" x14ac:dyDescent="0.2">
      <c r="A157" s="39" t="s">
        <v>286</v>
      </c>
      <c r="B157" s="89"/>
      <c r="C157" s="89"/>
      <c r="D157" s="89"/>
      <c r="E157" s="89"/>
      <c r="F157" s="89"/>
      <c r="G157" s="89"/>
      <c r="H157" s="89"/>
      <c r="I157" s="89"/>
      <c r="J157" s="89"/>
      <c r="K157" s="89"/>
      <c r="L157" s="89"/>
      <c r="M157" s="89"/>
      <c r="N157" s="89"/>
      <c r="O157" s="89"/>
      <c r="P157" s="89"/>
      <c r="Q157" s="89"/>
      <c r="R157" s="89"/>
      <c r="S157" s="89"/>
      <c r="T157" s="89"/>
      <c r="U157" s="89"/>
      <c r="V157" s="89"/>
      <c r="W157" s="89"/>
      <c r="X157" s="89"/>
      <c r="Y157" s="89"/>
      <c r="Z157" s="89"/>
      <c r="AA157" s="89"/>
      <c r="AB157" s="89"/>
      <c r="AC157" s="89"/>
      <c r="AD157" s="89"/>
    </row>
    <row r="158" spans="1:30" x14ac:dyDescent="0.2">
      <c r="A158" s="39" t="s">
        <v>287</v>
      </c>
      <c r="B158" s="3">
        <v>52.41</v>
      </c>
      <c r="C158" s="3">
        <v>40.450000000000003</v>
      </c>
      <c r="D158" s="3">
        <v>51.05</v>
      </c>
      <c r="E158" s="3">
        <v>111.3</v>
      </c>
      <c r="F158" s="3">
        <v>62.68</v>
      </c>
      <c r="G158" s="3">
        <v>75.430000000000007</v>
      </c>
      <c r="H158" s="3">
        <v>51.49</v>
      </c>
      <c r="I158" s="3">
        <v>21.08</v>
      </c>
      <c r="J158" s="3">
        <v>48.36</v>
      </c>
      <c r="K158" s="3">
        <v>35.46</v>
      </c>
      <c r="L158" s="3">
        <v>25.91</v>
      </c>
      <c r="M158" s="3">
        <v>16.809999999999999</v>
      </c>
      <c r="N158" s="3">
        <v>20.98</v>
      </c>
      <c r="O158" s="3">
        <v>13.5</v>
      </c>
      <c r="P158" s="3">
        <v>15.34</v>
      </c>
      <c r="Q158" s="3">
        <v>54.35</v>
      </c>
      <c r="R158" s="3">
        <v>-133.9</v>
      </c>
      <c r="S158" s="3">
        <v>-145.1</v>
      </c>
      <c r="T158" s="3">
        <v>16.96</v>
      </c>
      <c r="U158" s="3">
        <v>24.05</v>
      </c>
      <c r="V158" s="3">
        <v>25.32</v>
      </c>
      <c r="W158" s="3">
        <v>42.93</v>
      </c>
      <c r="X158" s="3">
        <v>48.09</v>
      </c>
      <c r="Y158" s="3">
        <v>17.440000000000001</v>
      </c>
      <c r="Z158" s="3">
        <v>53.11</v>
      </c>
      <c r="AA158" s="3">
        <v>34.32</v>
      </c>
      <c r="AB158" s="3">
        <v>27.02</v>
      </c>
      <c r="AC158" s="3">
        <v>138.30000000000001</v>
      </c>
    </row>
    <row r="159" spans="1:30" x14ac:dyDescent="0.2">
      <c r="A159" s="39" t="s">
        <v>288</v>
      </c>
      <c r="B159" s="3">
        <v>27.45</v>
      </c>
      <c r="C159" s="3">
        <v>22.59</v>
      </c>
      <c r="D159" s="3">
        <v>24.94</v>
      </c>
      <c r="E159" s="3">
        <v>18.02</v>
      </c>
      <c r="F159" s="3">
        <v>22.71</v>
      </c>
      <c r="G159" s="3">
        <v>19.600000000000001</v>
      </c>
      <c r="H159" s="3">
        <v>13.19</v>
      </c>
      <c r="I159" s="3">
        <v>7.45</v>
      </c>
      <c r="J159" s="3">
        <v>15.17</v>
      </c>
      <c r="K159" s="3">
        <v>8.5500000000000007</v>
      </c>
      <c r="L159" s="3">
        <v>3.18</v>
      </c>
      <c r="M159" s="3">
        <v>2.27</v>
      </c>
      <c r="N159" s="3">
        <v>2.23</v>
      </c>
      <c r="O159" s="3">
        <v>1.77</v>
      </c>
      <c r="P159" s="3">
        <v>2.23</v>
      </c>
      <c r="Q159" s="3">
        <v>3.88</v>
      </c>
      <c r="R159" s="3">
        <v>2.74</v>
      </c>
      <c r="S159" s="3">
        <v>1.27</v>
      </c>
      <c r="T159" s="3">
        <v>3.3</v>
      </c>
      <c r="U159" s="3">
        <v>3.52</v>
      </c>
      <c r="V159" s="3">
        <v>3.21</v>
      </c>
      <c r="W159" s="3">
        <v>1.89</v>
      </c>
      <c r="X159" s="3">
        <v>1.96</v>
      </c>
      <c r="Y159" s="3">
        <v>0.82899999999999996</v>
      </c>
      <c r="Z159" s="3">
        <v>6.86</v>
      </c>
      <c r="AA159" s="3">
        <v>4.5999999999999996</v>
      </c>
      <c r="AB159" s="3">
        <v>2.95</v>
      </c>
      <c r="AC159" s="3">
        <v>3.58</v>
      </c>
    </row>
    <row r="160" spans="1:30" x14ac:dyDescent="0.2">
      <c r="A160" s="39" t="s">
        <v>289</v>
      </c>
      <c r="B160" s="3">
        <v>45.32</v>
      </c>
      <c r="C160" s="3">
        <v>37.17</v>
      </c>
      <c r="D160" s="3">
        <v>35.35</v>
      </c>
      <c r="E160" s="3">
        <v>21.99</v>
      </c>
      <c r="F160" s="3">
        <v>22.97</v>
      </c>
      <c r="G160" s="3">
        <v>19.34</v>
      </c>
      <c r="H160" s="3">
        <v>11.8</v>
      </c>
      <c r="I160" s="3">
        <v>9.35</v>
      </c>
      <c r="J160" s="3">
        <v>19.72</v>
      </c>
      <c r="K160" s="3">
        <v>10.25</v>
      </c>
      <c r="L160" s="3">
        <v>3.56</v>
      </c>
      <c r="M160" s="3">
        <v>2.4</v>
      </c>
      <c r="N160" s="3">
        <v>2.0699999999999998</v>
      </c>
      <c r="O160" s="3">
        <v>1.57</v>
      </c>
      <c r="P160" s="3">
        <v>2.15</v>
      </c>
      <c r="Q160" s="3">
        <v>4.32</v>
      </c>
      <c r="R160" s="3">
        <v>3.42</v>
      </c>
      <c r="S160" s="3">
        <v>1.82</v>
      </c>
      <c r="T160" s="3">
        <v>5.17</v>
      </c>
      <c r="U160" s="3">
        <v>5.38</v>
      </c>
      <c r="V160" s="3">
        <v>5.0999999999999996</v>
      </c>
      <c r="W160" s="3">
        <v>3.23</v>
      </c>
      <c r="X160" s="3">
        <v>3.4</v>
      </c>
      <c r="Y160" s="3">
        <v>1.7</v>
      </c>
      <c r="Z160" s="3">
        <v>12.3</v>
      </c>
      <c r="AA160" s="3">
        <v>8.3000000000000007</v>
      </c>
      <c r="AB160" s="3">
        <v>8.8800000000000008</v>
      </c>
      <c r="AC160" s="3">
        <v>8.83</v>
      </c>
    </row>
    <row r="161" spans="1:30" x14ac:dyDescent="0.2">
      <c r="A161" s="39" t="s">
        <v>290</v>
      </c>
      <c r="B161" s="3">
        <v>62.96</v>
      </c>
      <c r="C161" s="3">
        <v>48.45</v>
      </c>
      <c r="D161" s="3">
        <v>56.22</v>
      </c>
      <c r="E161" s="3">
        <v>127.6</v>
      </c>
      <c r="F161" s="3">
        <v>75.17</v>
      </c>
      <c r="G161" s="3">
        <v>69.61</v>
      </c>
      <c r="H161" s="3">
        <v>33.700000000000003</v>
      </c>
      <c r="I161" s="3">
        <v>27.78</v>
      </c>
      <c r="J161" s="3">
        <v>50.65</v>
      </c>
      <c r="K161" s="3">
        <v>39.49</v>
      </c>
      <c r="L161" s="3">
        <v>14.61</v>
      </c>
      <c r="M161" s="3">
        <v>13.53</v>
      </c>
      <c r="N161" s="3">
        <v>15.91</v>
      </c>
      <c r="O161" s="3">
        <v>11.85</v>
      </c>
      <c r="P161" s="3">
        <v>11.57</v>
      </c>
      <c r="Q161" s="3">
        <v>23.81</v>
      </c>
      <c r="R161" s="3">
        <v>22.2</v>
      </c>
      <c r="S161" s="3">
        <v>-27.53</v>
      </c>
      <c r="T161" s="3">
        <v>12.5</v>
      </c>
      <c r="U161" s="3">
        <v>24.43</v>
      </c>
      <c r="V161" s="3">
        <v>20.79</v>
      </c>
      <c r="W161" s="3">
        <v>58.58</v>
      </c>
      <c r="X161" s="3">
        <v>-45.93</v>
      </c>
      <c r="Y161" s="3">
        <v>7.84</v>
      </c>
      <c r="Z161" s="4">
        <v>-34934</v>
      </c>
      <c r="AA161" s="3">
        <v>14.59</v>
      </c>
      <c r="AB161" s="3">
        <v>258.39999999999998</v>
      </c>
      <c r="AC161" s="3">
        <v>-57.85</v>
      </c>
    </row>
    <row r="162" spans="1:30" x14ac:dyDescent="0.2">
      <c r="A162" s="39" t="s">
        <v>291</v>
      </c>
      <c r="B162" s="3">
        <v>58.91</v>
      </c>
      <c r="C162" s="3">
        <v>46</v>
      </c>
      <c r="D162" s="3">
        <v>54.08</v>
      </c>
      <c r="E162" s="3">
        <v>86.15</v>
      </c>
      <c r="F162" s="3">
        <v>67.11</v>
      </c>
      <c r="G162" s="3">
        <v>56.13</v>
      </c>
      <c r="H162" s="3">
        <v>30.24</v>
      </c>
      <c r="I162" s="3">
        <v>23.33</v>
      </c>
      <c r="J162" s="3">
        <v>42.08</v>
      </c>
      <c r="K162" s="3">
        <v>35.33</v>
      </c>
      <c r="L162" s="3">
        <v>13.54</v>
      </c>
      <c r="M162" s="3">
        <v>11.71</v>
      </c>
      <c r="N162" s="3">
        <v>11.05</v>
      </c>
      <c r="O162" s="3">
        <v>9.2100000000000009</v>
      </c>
      <c r="P162" s="3">
        <v>9.81</v>
      </c>
      <c r="Q162" s="3">
        <v>20.36</v>
      </c>
      <c r="R162" s="3">
        <v>18.670000000000002</v>
      </c>
      <c r="S162" s="3">
        <v>17.48</v>
      </c>
      <c r="T162" s="3">
        <v>10.65</v>
      </c>
      <c r="U162" s="3">
        <v>18.39</v>
      </c>
      <c r="V162" s="3">
        <v>17.079999999999998</v>
      </c>
      <c r="W162" s="3">
        <v>28.78</v>
      </c>
      <c r="X162" s="3">
        <v>72.040000000000006</v>
      </c>
      <c r="Y162" s="3">
        <v>5.97</v>
      </c>
      <c r="Z162" s="3">
        <v>58.44</v>
      </c>
      <c r="AA162" s="3">
        <v>12.62</v>
      </c>
      <c r="AB162" s="3">
        <v>69.72</v>
      </c>
      <c r="AC162" s="3">
        <v>-298.39999999999998</v>
      </c>
    </row>
    <row r="163" spans="1:30" x14ac:dyDescent="0.2">
      <c r="A163" s="39" t="s">
        <v>292</v>
      </c>
      <c r="B163" s="3">
        <v>4.1100000000000003</v>
      </c>
      <c r="C163" s="3">
        <v>0.27800000000000002</v>
      </c>
      <c r="D163" s="3">
        <v>8.8999999999999996E-2</v>
      </c>
      <c r="E163" s="3">
        <v>-2.0699999999999998</v>
      </c>
      <c r="F163" s="3">
        <v>0.53700000000000003</v>
      </c>
      <c r="G163" s="3">
        <v>1.51</v>
      </c>
      <c r="H163" s="3">
        <v>-1.75</v>
      </c>
      <c r="I163" s="3">
        <v>0.68500000000000005</v>
      </c>
      <c r="J163" s="3">
        <v>0.70299999999999996</v>
      </c>
      <c r="K163" s="3">
        <v>0.20300000000000001</v>
      </c>
      <c r="L163" s="3">
        <v>0</v>
      </c>
      <c r="M163" s="3">
        <v>0.35499999999999998</v>
      </c>
      <c r="N163" s="3">
        <v>-1.21</v>
      </c>
      <c r="O163" s="3">
        <v>-3.24</v>
      </c>
      <c r="P163" s="3">
        <v>0.13</v>
      </c>
      <c r="Q163" s="3">
        <v>-0.11899999999999999</v>
      </c>
      <c r="R163" s="3">
        <v>-1.1000000000000001</v>
      </c>
      <c r="S163" s="3">
        <v>1.4</v>
      </c>
      <c r="T163" s="3">
        <v>0.23699999999999999</v>
      </c>
      <c r="U163" s="3">
        <v>0.60099999999999998</v>
      </c>
      <c r="V163" s="3">
        <v>0.109</v>
      </c>
      <c r="W163" s="3">
        <v>2.33</v>
      </c>
      <c r="X163" s="3">
        <v>-2.14</v>
      </c>
      <c r="Y163" s="3">
        <v>-0.34200000000000003</v>
      </c>
      <c r="Z163" s="3">
        <v>0.94399999999999995</v>
      </c>
      <c r="AA163" s="3">
        <v>0.25</v>
      </c>
      <c r="AB163" s="3">
        <v>3.4000000000000002E-2</v>
      </c>
      <c r="AC163" s="3">
        <v>0</v>
      </c>
    </row>
    <row r="164" spans="1:30" x14ac:dyDescent="0.2">
      <c r="A164" s="39" t="s">
        <v>293</v>
      </c>
      <c r="B164" s="3">
        <v>46.73</v>
      </c>
      <c r="C164" s="3">
        <v>34.99</v>
      </c>
      <c r="D164" s="3">
        <v>43.63</v>
      </c>
      <c r="E164" s="3">
        <v>84.03</v>
      </c>
      <c r="F164" s="3">
        <v>53.67</v>
      </c>
      <c r="G164" s="3">
        <v>57.36</v>
      </c>
      <c r="H164" s="3">
        <v>42.06</v>
      </c>
      <c r="I164" s="3">
        <v>20.14</v>
      </c>
      <c r="J164" s="3">
        <v>41.73</v>
      </c>
      <c r="K164" s="3">
        <v>25.98</v>
      </c>
      <c r="L164" s="3">
        <v>13.12</v>
      </c>
      <c r="M164" s="3">
        <v>7.54</v>
      </c>
      <c r="N164" s="3">
        <v>8.07</v>
      </c>
      <c r="O164" s="3">
        <v>4.4400000000000004</v>
      </c>
      <c r="P164" s="3">
        <v>6.81</v>
      </c>
      <c r="Q164" s="3">
        <v>25.5</v>
      </c>
      <c r="R164" s="3">
        <v>75.75</v>
      </c>
      <c r="S164" s="3">
        <v>27.36</v>
      </c>
      <c r="T164" s="3">
        <v>15.85</v>
      </c>
      <c r="U164" s="3">
        <v>17.239999999999998</v>
      </c>
      <c r="V164" s="3">
        <v>4.28</v>
      </c>
      <c r="W164" s="3">
        <v>31.26</v>
      </c>
      <c r="X164" s="3">
        <v>20.88</v>
      </c>
      <c r="Y164" s="3">
        <v>15.35</v>
      </c>
      <c r="Z164" s="3">
        <v>47.73</v>
      </c>
    </row>
    <row r="165" spans="1:30" x14ac:dyDescent="0.2">
      <c r="A165" s="39" t="s">
        <v>294</v>
      </c>
      <c r="B165" s="89"/>
      <c r="C165" s="89"/>
      <c r="D165" s="89"/>
      <c r="E165" s="89"/>
      <c r="F165" s="89"/>
      <c r="G165" s="89"/>
      <c r="H165" s="89"/>
      <c r="I165" s="89"/>
      <c r="J165" s="89"/>
      <c r="K165" s="89"/>
      <c r="L165" s="89"/>
      <c r="M165" s="89"/>
      <c r="N165" s="89"/>
      <c r="O165" s="89"/>
      <c r="P165" s="89"/>
      <c r="Q165" s="89"/>
      <c r="R165" s="89"/>
      <c r="S165" s="89"/>
      <c r="T165" s="89"/>
      <c r="U165" s="89"/>
      <c r="V165" s="89"/>
      <c r="W165" s="89"/>
      <c r="X165" s="89"/>
      <c r="Y165" s="89"/>
      <c r="Z165" s="89"/>
      <c r="AA165" s="89"/>
      <c r="AB165" s="89"/>
      <c r="AC165" s="89"/>
      <c r="AD165" s="89"/>
    </row>
    <row r="166" spans="1:30" x14ac:dyDescent="0.2">
      <c r="A166" s="39" t="s">
        <v>65</v>
      </c>
      <c r="B166" s="3">
        <v>4.21</v>
      </c>
      <c r="C166" s="3">
        <v>4.4400000000000004</v>
      </c>
      <c r="D166" s="3">
        <v>4.17</v>
      </c>
      <c r="E166" s="3">
        <v>3.52</v>
      </c>
      <c r="F166" s="3">
        <v>6.65</v>
      </c>
      <c r="G166" s="3">
        <v>4.09</v>
      </c>
      <c r="H166" s="3">
        <v>7.67</v>
      </c>
      <c r="I166" s="3">
        <v>7.94</v>
      </c>
      <c r="J166" s="3">
        <v>8.0299999999999994</v>
      </c>
      <c r="K166" s="3">
        <v>4.6900000000000004</v>
      </c>
      <c r="L166" s="3">
        <v>2.48</v>
      </c>
      <c r="M166" s="3">
        <v>6.38</v>
      </c>
      <c r="N166" s="3">
        <v>5.95</v>
      </c>
      <c r="O166" s="3">
        <v>4.8899999999999997</v>
      </c>
      <c r="P166" s="3">
        <v>4.2</v>
      </c>
      <c r="Q166" s="3">
        <v>3.42</v>
      </c>
      <c r="R166" s="3">
        <v>3.16</v>
      </c>
      <c r="S166" s="3">
        <v>2.78</v>
      </c>
      <c r="T166" s="3">
        <v>2.99</v>
      </c>
      <c r="U166" s="3">
        <v>3.18</v>
      </c>
      <c r="V166" s="3">
        <v>3.53</v>
      </c>
      <c r="W166" s="3">
        <v>3.1</v>
      </c>
      <c r="X166" s="3">
        <v>3.15</v>
      </c>
      <c r="Y166" s="3">
        <v>3.56</v>
      </c>
      <c r="Z166" s="3">
        <v>2.85</v>
      </c>
      <c r="AA166" s="3">
        <v>3.01</v>
      </c>
      <c r="AB166" s="3">
        <v>2.27</v>
      </c>
      <c r="AC166" s="3">
        <v>2.15</v>
      </c>
    </row>
    <row r="167" spans="1:30" x14ac:dyDescent="0.2">
      <c r="A167" s="39" t="s">
        <v>66</v>
      </c>
      <c r="B167" s="3">
        <v>3.6</v>
      </c>
      <c r="C167" s="3">
        <v>3.88</v>
      </c>
      <c r="D167" s="3">
        <v>3.67</v>
      </c>
      <c r="E167" s="3">
        <v>2.73</v>
      </c>
      <c r="F167" s="3">
        <v>6.05</v>
      </c>
      <c r="G167" s="3">
        <v>3.63</v>
      </c>
      <c r="H167" s="3">
        <v>7.12</v>
      </c>
      <c r="I167" s="3">
        <v>6.76</v>
      </c>
      <c r="J167" s="3">
        <v>7.34</v>
      </c>
      <c r="K167" s="3">
        <v>4.26</v>
      </c>
      <c r="L167" s="3">
        <v>2.31</v>
      </c>
      <c r="M167" s="3">
        <v>5.84</v>
      </c>
      <c r="N167" s="3">
        <v>5.54</v>
      </c>
      <c r="O167" s="3">
        <v>4.47</v>
      </c>
      <c r="P167" s="3">
        <v>3.83</v>
      </c>
      <c r="Q167" s="3">
        <v>3.06</v>
      </c>
      <c r="R167" s="3">
        <v>2.74</v>
      </c>
      <c r="S167" s="3">
        <v>2.09</v>
      </c>
      <c r="T167" s="3">
        <v>2.62</v>
      </c>
      <c r="U167" s="3">
        <v>2.63</v>
      </c>
      <c r="V167" s="3">
        <v>2.95</v>
      </c>
      <c r="W167" s="3">
        <v>2.35</v>
      </c>
      <c r="X167" s="3">
        <v>2.4500000000000002</v>
      </c>
      <c r="Y167" s="3">
        <v>3.18</v>
      </c>
      <c r="Z167" s="3">
        <v>2.35</v>
      </c>
      <c r="AA167" s="3">
        <v>2.72</v>
      </c>
      <c r="AB167" s="3">
        <v>1.78</v>
      </c>
      <c r="AC167" s="3">
        <v>1.54</v>
      </c>
    </row>
    <row r="168" spans="1:30" x14ac:dyDescent="0.2">
      <c r="A168" s="39" t="s">
        <v>295</v>
      </c>
      <c r="B168" s="3">
        <v>0.48</v>
      </c>
      <c r="C168" s="3">
        <v>0.47599999999999998</v>
      </c>
      <c r="D168" s="3">
        <v>0.68500000000000005</v>
      </c>
      <c r="E168" s="3">
        <v>0.51600000000000001</v>
      </c>
      <c r="F168" s="3">
        <v>0.45900000000000002</v>
      </c>
      <c r="G168" s="3">
        <v>0.216</v>
      </c>
      <c r="H168" s="3">
        <v>6.11</v>
      </c>
      <c r="I168" s="3">
        <v>0.58799999999999997</v>
      </c>
      <c r="J168" s="3">
        <v>3.47</v>
      </c>
      <c r="K168" s="3">
        <v>0.97099999999999997</v>
      </c>
      <c r="L168" s="3">
        <v>0.24399999999999999</v>
      </c>
      <c r="M168" s="3">
        <v>0.55500000000000005</v>
      </c>
      <c r="N168" s="3">
        <v>1.22</v>
      </c>
      <c r="O168" s="3">
        <v>0.751</v>
      </c>
      <c r="P168" s="3">
        <v>0.71799999999999997</v>
      </c>
      <c r="Q168" s="3">
        <v>0.70599999999999996</v>
      </c>
      <c r="R168" s="3">
        <v>0.56999999999999995</v>
      </c>
      <c r="S168" s="3">
        <v>0.53600000000000003</v>
      </c>
      <c r="T168" s="3">
        <v>0.752</v>
      </c>
      <c r="U168" s="3">
        <v>0.85199999999999998</v>
      </c>
      <c r="V168" s="3">
        <v>1.26</v>
      </c>
      <c r="W168" s="3">
        <v>0.495</v>
      </c>
      <c r="X168" s="3">
        <v>0.64200000000000002</v>
      </c>
      <c r="Y168" s="3">
        <v>0.91400000000000003</v>
      </c>
      <c r="Z168" s="3">
        <v>0.76800000000000002</v>
      </c>
      <c r="AA168" s="3">
        <v>2.1800000000000002</v>
      </c>
      <c r="AB168" s="3">
        <v>0.80800000000000005</v>
      </c>
      <c r="AC168" s="3">
        <v>1.07</v>
      </c>
    </row>
    <row r="169" spans="1:30" x14ac:dyDescent="0.2">
      <c r="A169" s="39" t="s">
        <v>296</v>
      </c>
      <c r="B169" s="3">
        <v>7.4999999999999997E-2</v>
      </c>
      <c r="C169" s="3">
        <v>9.1999999999999998E-2</v>
      </c>
      <c r="D169" s="3">
        <v>0.16800000000000001</v>
      </c>
      <c r="E169" s="3">
        <v>0.29199999999999998</v>
      </c>
      <c r="F169" s="3">
        <v>0.26800000000000002</v>
      </c>
      <c r="G169" s="3">
        <v>0.26800000000000002</v>
      </c>
      <c r="H169" s="3">
        <v>0.153</v>
      </c>
      <c r="I169" s="3">
        <v>0.15</v>
      </c>
      <c r="J169" s="3">
        <v>0.17799999999999999</v>
      </c>
      <c r="K169" s="3">
        <v>0.28599999999999998</v>
      </c>
      <c r="L169" s="3">
        <v>0.20499999999999999</v>
      </c>
      <c r="M169" s="3">
        <v>0.19400000000000001</v>
      </c>
      <c r="N169" s="3">
        <v>0.189</v>
      </c>
      <c r="O169" s="3">
        <v>3.0000000000000001E-3</v>
      </c>
      <c r="P169" s="3">
        <v>4.0000000000000001E-3</v>
      </c>
      <c r="Q169" s="3">
        <v>5.0000000000000001E-3</v>
      </c>
      <c r="R169" s="3">
        <v>7.0000000000000001E-3</v>
      </c>
      <c r="S169" s="3">
        <v>8.0000000000000002E-3</v>
      </c>
      <c r="T169" s="3">
        <v>0</v>
      </c>
      <c r="U169" s="3">
        <v>0</v>
      </c>
      <c r="V169" s="3">
        <v>0</v>
      </c>
      <c r="W169" s="3">
        <v>1E-3</v>
      </c>
      <c r="X169" s="3">
        <v>3.0000000000000001E-3</v>
      </c>
      <c r="Y169" s="3">
        <v>0.192</v>
      </c>
      <c r="Z169" s="3">
        <v>0.20599999999999999</v>
      </c>
      <c r="AA169" s="3">
        <v>0.29599999999999999</v>
      </c>
      <c r="AB169" s="3">
        <v>1.6E-2</v>
      </c>
      <c r="AC169" s="3">
        <v>7.3999999999999996E-2</v>
      </c>
    </row>
    <row r="170" spans="1:30" x14ac:dyDescent="0.2">
      <c r="A170" s="39" t="s">
        <v>297</v>
      </c>
      <c r="B170" s="3">
        <v>0.106</v>
      </c>
      <c r="C170" s="3">
        <v>0.129</v>
      </c>
      <c r="D170" s="3">
        <v>0.25700000000000001</v>
      </c>
      <c r="E170" s="3">
        <v>0.54400000000000004</v>
      </c>
      <c r="F170" s="3">
        <v>0.44500000000000001</v>
      </c>
      <c r="G170" s="3">
        <v>0.45700000000000002</v>
      </c>
      <c r="H170" s="3">
        <v>0.217</v>
      </c>
      <c r="I170" s="3">
        <v>0.21299999999999999</v>
      </c>
      <c r="J170" s="3">
        <v>0.26800000000000002</v>
      </c>
      <c r="K170" s="3">
        <v>0.48899999999999999</v>
      </c>
      <c r="L170" s="3">
        <v>0.33800000000000002</v>
      </c>
      <c r="M170" s="3">
        <v>0.316</v>
      </c>
      <c r="N170" s="3">
        <v>0.308</v>
      </c>
      <c r="O170" s="3">
        <v>4.0000000000000001E-3</v>
      </c>
      <c r="P170" s="3">
        <v>5.0000000000000001E-3</v>
      </c>
      <c r="Q170" s="3">
        <v>7.0000000000000001E-3</v>
      </c>
      <c r="R170" s="3">
        <v>8.9999999999999993E-3</v>
      </c>
      <c r="S170" s="3">
        <v>1.0999999999999999E-2</v>
      </c>
      <c r="T170" s="3">
        <v>0</v>
      </c>
      <c r="U170" s="3">
        <v>0</v>
      </c>
      <c r="V170" s="3">
        <v>0</v>
      </c>
      <c r="W170" s="3">
        <v>1E-3</v>
      </c>
      <c r="X170" s="3">
        <v>5.0000000000000001E-3</v>
      </c>
      <c r="Y170" s="3">
        <v>0.33300000000000002</v>
      </c>
      <c r="Z170" s="3">
        <v>0.40600000000000003</v>
      </c>
      <c r="AA170" s="3">
        <v>0.73899999999999999</v>
      </c>
      <c r="AB170" s="3">
        <v>2.5999999999999999E-2</v>
      </c>
      <c r="AC170" s="3">
        <v>0.13100000000000001</v>
      </c>
    </row>
    <row r="171" spans="1:30" x14ac:dyDescent="0.2">
      <c r="A171" s="39" t="s">
        <v>298</v>
      </c>
      <c r="B171" s="3">
        <v>7.8E-2</v>
      </c>
      <c r="C171" s="3">
        <v>9.6000000000000002E-2</v>
      </c>
      <c r="D171" s="3">
        <v>0.16400000000000001</v>
      </c>
      <c r="E171" s="3">
        <v>0.30499999999999999</v>
      </c>
      <c r="F171" s="3">
        <v>0.29099999999999998</v>
      </c>
      <c r="G171" s="3">
        <v>0.26100000000000001</v>
      </c>
      <c r="H171" s="3">
        <v>0.14000000000000001</v>
      </c>
      <c r="I171" s="3">
        <v>0.17499999999999999</v>
      </c>
      <c r="J171" s="3">
        <v>0.21</v>
      </c>
      <c r="K171" s="3">
        <v>0.25600000000000001</v>
      </c>
      <c r="L171" s="3">
        <v>0</v>
      </c>
      <c r="M171" s="3">
        <v>0.23899999999999999</v>
      </c>
      <c r="N171" s="3">
        <v>0.23300000000000001</v>
      </c>
      <c r="O171" s="3">
        <v>0</v>
      </c>
      <c r="P171" s="3">
        <v>0</v>
      </c>
      <c r="Q171" s="3">
        <v>0</v>
      </c>
      <c r="R171" s="3">
        <v>0</v>
      </c>
      <c r="S171" s="3">
        <v>0</v>
      </c>
      <c r="T171" s="3">
        <v>0</v>
      </c>
      <c r="U171" s="3">
        <v>0</v>
      </c>
      <c r="V171" s="3">
        <v>0</v>
      </c>
      <c r="W171" s="3">
        <v>0</v>
      </c>
      <c r="X171" s="3">
        <v>0</v>
      </c>
      <c r="Y171" s="3">
        <v>0.24299999999999999</v>
      </c>
      <c r="Z171" s="3">
        <v>0.28199999999999997</v>
      </c>
      <c r="AA171" s="3">
        <v>0.42399999999999999</v>
      </c>
      <c r="AB171" s="3">
        <v>1.2E-2</v>
      </c>
      <c r="AC171" s="3">
        <v>0.03</v>
      </c>
    </row>
    <row r="172" spans="1:30" x14ac:dyDescent="0.2">
      <c r="A172" s="39" t="s">
        <v>299</v>
      </c>
      <c r="B172" s="3">
        <v>9.6000000000000002E-2</v>
      </c>
      <c r="C172" s="3">
        <v>0.115</v>
      </c>
      <c r="D172" s="3">
        <v>0.20499999999999999</v>
      </c>
      <c r="E172" s="3">
        <v>0.35199999999999998</v>
      </c>
      <c r="F172" s="3">
        <v>0.308</v>
      </c>
      <c r="G172" s="3">
        <v>0.314</v>
      </c>
      <c r="H172" s="3">
        <v>0.17799999999999999</v>
      </c>
      <c r="I172" s="3">
        <v>0.17499999999999999</v>
      </c>
      <c r="J172" s="3">
        <v>0.21099999999999999</v>
      </c>
      <c r="K172" s="3">
        <v>0.32800000000000001</v>
      </c>
      <c r="L172" s="3">
        <v>0.253</v>
      </c>
      <c r="M172" s="3">
        <v>0.24</v>
      </c>
      <c r="N172" s="3">
        <v>0.23599999999999999</v>
      </c>
      <c r="O172" s="3">
        <v>4.0000000000000001E-3</v>
      </c>
      <c r="P172" s="3">
        <v>5.0000000000000001E-3</v>
      </c>
      <c r="Q172" s="3">
        <v>7.0000000000000001E-3</v>
      </c>
      <c r="R172" s="3">
        <v>8.9999999999999993E-3</v>
      </c>
      <c r="S172" s="3">
        <v>1.0999999999999999E-2</v>
      </c>
      <c r="T172" s="3">
        <v>0</v>
      </c>
      <c r="U172" s="3">
        <v>0</v>
      </c>
      <c r="V172" s="3">
        <v>0</v>
      </c>
      <c r="W172" s="3">
        <v>1E-3</v>
      </c>
      <c r="X172" s="3">
        <v>5.0000000000000001E-3</v>
      </c>
      <c r="Y172" s="3">
        <v>0.25</v>
      </c>
      <c r="Z172" s="3">
        <v>0.28899999999999998</v>
      </c>
      <c r="AA172" s="3">
        <v>0.42499999999999999</v>
      </c>
      <c r="AB172" s="3">
        <v>2.5000000000000001E-2</v>
      </c>
      <c r="AC172" s="3">
        <v>0.11600000000000001</v>
      </c>
    </row>
    <row r="173" spans="1:30" x14ac:dyDescent="0.2">
      <c r="A173" s="39" t="s">
        <v>300</v>
      </c>
      <c r="B173" s="3">
        <v>388.6</v>
      </c>
      <c r="C173" s="3">
        <v>329.8</v>
      </c>
      <c r="D173" s="3">
        <v>128.30000000000001</v>
      </c>
      <c r="E173" s="3">
        <v>16.12</v>
      </c>
      <c r="F173" s="3">
        <v>42.55</v>
      </c>
      <c r="G173" s="3">
        <v>24.63</v>
      </c>
      <c r="H173" s="3">
        <v>54.73</v>
      </c>
      <c r="I173" s="3">
        <v>65.59</v>
      </c>
      <c r="J173" s="3">
        <v>52.62</v>
      </c>
      <c r="K173" s="3">
        <v>33.340000000000003</v>
      </c>
      <c r="L173" s="3">
        <v>15.89</v>
      </c>
      <c r="M173" s="3">
        <v>16.5</v>
      </c>
      <c r="N173" s="3">
        <v>49.6</v>
      </c>
      <c r="O173" s="3">
        <v>196.8</v>
      </c>
      <c r="P173" s="3">
        <v>209.9</v>
      </c>
      <c r="Q173" s="3">
        <v>81.790000000000006</v>
      </c>
      <c r="R173" s="3">
        <v>-29.8</v>
      </c>
      <c r="S173" s="3">
        <v>-174.1</v>
      </c>
      <c r="T173" s="3">
        <v>0</v>
      </c>
      <c r="U173" s="3">
        <v>0</v>
      </c>
      <c r="V173" s="3">
        <v>0</v>
      </c>
      <c r="W173" s="3">
        <v>0</v>
      </c>
      <c r="X173" s="3">
        <v>0</v>
      </c>
      <c r="Y173" s="3">
        <v>0</v>
      </c>
      <c r="Z173" s="3">
        <v>0</v>
      </c>
      <c r="AA173" s="3">
        <v>0</v>
      </c>
      <c r="AB173" s="3">
        <v>0</v>
      </c>
      <c r="AC173" s="3">
        <v>0</v>
      </c>
    </row>
    <row r="174" spans="1:30" x14ac:dyDescent="0.2">
      <c r="A174" s="39" t="s">
        <v>301</v>
      </c>
      <c r="B174" s="3">
        <v>7.27</v>
      </c>
      <c r="C174" s="3">
        <v>6.24</v>
      </c>
      <c r="D174" s="3">
        <v>2.54</v>
      </c>
      <c r="E174" s="3">
        <v>0.46899999999999997</v>
      </c>
      <c r="F174" s="3">
        <v>0.77</v>
      </c>
      <c r="G174" s="3">
        <v>0.754</v>
      </c>
      <c r="H174" s="3">
        <v>1.8</v>
      </c>
      <c r="I174" s="3">
        <v>1.88</v>
      </c>
      <c r="J174" s="3">
        <v>1.75</v>
      </c>
      <c r="K174" s="3">
        <v>0.59399999999999997</v>
      </c>
      <c r="L174" s="3">
        <v>0.77800000000000002</v>
      </c>
      <c r="M174" s="3">
        <v>0.64800000000000002</v>
      </c>
      <c r="N174" s="3">
        <v>0.60799999999999998</v>
      </c>
      <c r="O174" s="3">
        <v>43.38</v>
      </c>
      <c r="P174" s="3">
        <v>42.41</v>
      </c>
      <c r="Q174" s="3">
        <v>28.89</v>
      </c>
      <c r="R174" s="3">
        <v>19.95</v>
      </c>
      <c r="S174" s="3">
        <v>9.73</v>
      </c>
      <c r="T174" s="3">
        <v>0</v>
      </c>
      <c r="U174" s="3">
        <v>0</v>
      </c>
      <c r="V174" s="3">
        <v>0</v>
      </c>
      <c r="W174" s="3">
        <v>154.4</v>
      </c>
      <c r="X174" s="3">
        <v>10.199999999999999</v>
      </c>
      <c r="Y174" s="3">
        <v>0.85299999999999998</v>
      </c>
      <c r="Z174" s="3">
        <v>0.51900000000000002</v>
      </c>
      <c r="AA174" s="3">
        <v>0.89</v>
      </c>
      <c r="AB174" s="3">
        <v>4.8899999999999997</v>
      </c>
      <c r="AC174" s="3">
        <v>-0.22600000000000001</v>
      </c>
    </row>
    <row r="175" spans="1:30" x14ac:dyDescent="0.2">
      <c r="A175" s="39" t="s">
        <v>302</v>
      </c>
      <c r="B175" s="89"/>
      <c r="C175" s="89"/>
      <c r="D175" s="89"/>
      <c r="E175" s="89"/>
      <c r="F175" s="89"/>
      <c r="G175" s="89"/>
      <c r="H175" s="89"/>
      <c r="I175" s="89"/>
      <c r="J175" s="89"/>
      <c r="K175" s="89"/>
      <c r="L175" s="89"/>
      <c r="M175" s="89"/>
      <c r="N175" s="89"/>
      <c r="O175" s="89"/>
      <c r="P175" s="89"/>
      <c r="Q175" s="89"/>
      <c r="R175" s="89"/>
      <c r="S175" s="89"/>
      <c r="T175" s="89"/>
      <c r="U175" s="89"/>
      <c r="V175" s="89"/>
      <c r="W175" s="89"/>
      <c r="X175" s="89"/>
      <c r="Y175" s="89"/>
      <c r="Z175" s="89"/>
      <c r="AA175" s="89"/>
      <c r="AB175" s="89"/>
      <c r="AC175" s="89"/>
      <c r="AD175" s="89"/>
    </row>
    <row r="176" spans="1:30" x14ac:dyDescent="0.2">
      <c r="A176" s="39" t="s">
        <v>303</v>
      </c>
      <c r="B176" s="5">
        <v>0.69850000000000001</v>
      </c>
      <c r="C176" s="5">
        <v>0.74990000000000001</v>
      </c>
      <c r="D176" s="5">
        <v>0.72719999999999996</v>
      </c>
      <c r="E176" s="5">
        <v>0.56930000000000003</v>
      </c>
      <c r="F176" s="5">
        <v>0.64929999999999999</v>
      </c>
      <c r="G176" s="5">
        <v>0.62339999999999995</v>
      </c>
      <c r="H176" s="5">
        <v>0.61990000000000001</v>
      </c>
      <c r="I176" s="5">
        <v>0.61209999999999998</v>
      </c>
      <c r="J176" s="5">
        <v>0.59930000000000005</v>
      </c>
      <c r="K176" s="5">
        <v>0.58799999999999997</v>
      </c>
      <c r="L176" s="5">
        <v>0.56110000000000004</v>
      </c>
      <c r="M176" s="5">
        <v>0.55510000000000004</v>
      </c>
      <c r="N176" s="5">
        <v>0.54920000000000002</v>
      </c>
      <c r="O176" s="5">
        <v>0.5202</v>
      </c>
      <c r="P176" s="5">
        <v>0.51439999999999997</v>
      </c>
      <c r="Q176" s="5">
        <v>0.3977</v>
      </c>
      <c r="R176" s="5">
        <v>0.3538</v>
      </c>
      <c r="S176" s="5">
        <v>0.34289999999999998</v>
      </c>
      <c r="T176" s="5">
        <v>0.45619999999999999</v>
      </c>
      <c r="U176" s="5">
        <v>0.42380000000000001</v>
      </c>
      <c r="V176" s="5">
        <v>0.3831</v>
      </c>
      <c r="W176" s="5">
        <v>0.32219999999999999</v>
      </c>
      <c r="X176" s="5">
        <v>0.29010000000000002</v>
      </c>
      <c r="Y176" s="5">
        <v>0.30170000000000002</v>
      </c>
      <c r="Z176" s="5">
        <v>0.37919999999999998</v>
      </c>
      <c r="AA176" s="5">
        <v>0.37109999999999999</v>
      </c>
      <c r="AB176" s="5">
        <v>0.37869999999999998</v>
      </c>
      <c r="AC176" s="5">
        <v>0.34770000000000001</v>
      </c>
    </row>
    <row r="177" spans="1:30" x14ac:dyDescent="0.2">
      <c r="A177" s="39" t="s">
        <v>304</v>
      </c>
      <c r="B177" s="5">
        <v>0.58089999999999997</v>
      </c>
      <c r="C177" s="5">
        <v>0.62419999999999998</v>
      </c>
      <c r="D177" s="5">
        <v>0.54120000000000001</v>
      </c>
      <c r="E177" s="5">
        <v>0.15659999999999999</v>
      </c>
      <c r="F177" s="5">
        <v>0.37309999999999999</v>
      </c>
      <c r="G177" s="5">
        <v>0.27179999999999999</v>
      </c>
      <c r="H177" s="5">
        <v>0.26069999999999999</v>
      </c>
      <c r="I177" s="5">
        <v>0.32469999999999999</v>
      </c>
      <c r="J177" s="5">
        <v>0.33050000000000002</v>
      </c>
      <c r="K177" s="5">
        <v>0.27989999999999998</v>
      </c>
      <c r="L177" s="5">
        <v>0.14910000000000001</v>
      </c>
      <c r="M177" s="5">
        <v>0.16209999999999999</v>
      </c>
      <c r="N177" s="5">
        <v>0.1201</v>
      </c>
      <c r="O177" s="5">
        <v>0.1515</v>
      </c>
      <c r="P177" s="5">
        <v>0.16220000000000001</v>
      </c>
      <c r="Q177" s="5">
        <v>7.22E-2</v>
      </c>
      <c r="R177" s="5">
        <v>-2.9700000000000001E-2</v>
      </c>
      <c r="S177" s="5">
        <v>-2.06E-2</v>
      </c>
      <c r="T177" s="5">
        <v>0.2041</v>
      </c>
      <c r="U177" s="5">
        <v>0.14779999999999999</v>
      </c>
      <c r="V177" s="5">
        <v>0.14169999999999999</v>
      </c>
      <c r="W177" s="5">
        <v>4.7399999999999998E-2</v>
      </c>
      <c r="X177" s="5">
        <v>4.9500000000000002E-2</v>
      </c>
      <c r="Y177" s="5">
        <v>7.5399999999999995E-2</v>
      </c>
      <c r="Z177" s="5">
        <v>0.17649999999999999</v>
      </c>
      <c r="AA177" s="5">
        <v>0.17430000000000001</v>
      </c>
      <c r="AB177" s="5">
        <v>0.1565</v>
      </c>
      <c r="AC177" s="5">
        <v>2.8400000000000002E-2</v>
      </c>
    </row>
    <row r="178" spans="1:30" x14ac:dyDescent="0.2">
      <c r="A178" s="39" t="s">
        <v>305</v>
      </c>
      <c r="B178" s="5">
        <v>0.60919999999999996</v>
      </c>
      <c r="C178" s="5">
        <v>0.64390000000000003</v>
      </c>
      <c r="D178" s="5">
        <v>0.55510000000000004</v>
      </c>
      <c r="E178" s="5">
        <v>0.155</v>
      </c>
      <c r="F178" s="5">
        <v>0.36940000000000001</v>
      </c>
      <c r="G178" s="5">
        <v>0.26440000000000002</v>
      </c>
      <c r="H178" s="5">
        <v>0.27200000000000002</v>
      </c>
      <c r="I178" s="5">
        <v>0.33250000000000002</v>
      </c>
      <c r="J178" s="5">
        <v>0.32900000000000001</v>
      </c>
      <c r="K178" s="5">
        <v>0.2757</v>
      </c>
      <c r="L178" s="5">
        <v>0.14829999999999999</v>
      </c>
      <c r="M178" s="5">
        <v>0.1613</v>
      </c>
      <c r="N178" s="5">
        <v>0.1235</v>
      </c>
      <c r="O178" s="5">
        <v>0.1547</v>
      </c>
      <c r="P178" s="5">
        <v>0.16589999999999999</v>
      </c>
      <c r="Q178" s="5">
        <v>7.6499999999999999E-2</v>
      </c>
      <c r="R178" s="5">
        <v>-2.47E-2</v>
      </c>
      <c r="S178" s="5">
        <v>-1.2500000000000001E-2</v>
      </c>
      <c r="T178" s="71">
        <v>0.22</v>
      </c>
      <c r="U178" s="5">
        <v>0.16109999999999999</v>
      </c>
      <c r="V178" s="5">
        <v>0.1502</v>
      </c>
      <c r="W178" s="5">
        <v>5.3199999999999997E-2</v>
      </c>
      <c r="X178" s="5">
        <v>4.7500000000000001E-2</v>
      </c>
      <c r="Y178" s="5">
        <v>7.8799999999999995E-2</v>
      </c>
      <c r="Z178" s="5">
        <v>0.18459999999999999</v>
      </c>
      <c r="AA178" s="5">
        <v>0.19689999999999999</v>
      </c>
      <c r="AB178" s="5">
        <v>0.16120000000000001</v>
      </c>
      <c r="AC178" s="5">
        <v>2.8400000000000002E-2</v>
      </c>
    </row>
    <row r="179" spans="1:30" x14ac:dyDescent="0.2">
      <c r="A179" s="39" t="s">
        <v>306</v>
      </c>
      <c r="B179" s="5">
        <v>0.52410000000000001</v>
      </c>
      <c r="C179" s="5">
        <v>0.5585</v>
      </c>
      <c r="D179" s="5">
        <v>0.48849999999999999</v>
      </c>
      <c r="E179" s="5">
        <v>0.16189999999999999</v>
      </c>
      <c r="F179" s="5">
        <v>0.36230000000000001</v>
      </c>
      <c r="G179" s="5">
        <v>0.25979999999999998</v>
      </c>
      <c r="H179" s="5">
        <v>0.25609999999999999</v>
      </c>
      <c r="I179" s="5">
        <v>0.35339999999999999</v>
      </c>
      <c r="J179" s="5">
        <v>0.31369999999999998</v>
      </c>
      <c r="K179" s="5">
        <v>0.24110000000000001</v>
      </c>
      <c r="L179" s="5">
        <v>0.1226</v>
      </c>
      <c r="M179" s="5">
        <v>0.1348</v>
      </c>
      <c r="N179" s="5">
        <v>0.1065</v>
      </c>
      <c r="O179" s="5">
        <v>0.13139999999999999</v>
      </c>
      <c r="P179" s="5">
        <v>0.14530000000000001</v>
      </c>
      <c r="Q179" s="5">
        <v>7.1400000000000005E-2</v>
      </c>
      <c r="R179" s="5">
        <v>-2.0400000000000001E-2</v>
      </c>
      <c r="S179" s="5">
        <v>-8.77E-3</v>
      </c>
      <c r="T179" s="5">
        <v>0.1946</v>
      </c>
      <c r="U179" s="5">
        <v>0.14630000000000001</v>
      </c>
      <c r="V179" s="5">
        <v>0.1268</v>
      </c>
      <c r="W179" s="5">
        <v>4.41E-2</v>
      </c>
      <c r="X179" s="5">
        <v>4.0800000000000003E-2</v>
      </c>
      <c r="Y179" s="5">
        <v>4.7600000000000003E-2</v>
      </c>
      <c r="Z179" s="5">
        <v>0.12920000000000001</v>
      </c>
      <c r="AA179" s="5">
        <v>0.13389999999999999</v>
      </c>
      <c r="AB179" s="5">
        <v>0.1094</v>
      </c>
      <c r="AC179" s="5">
        <v>2.5899999999999999E-2</v>
      </c>
    </row>
    <row r="180" spans="1:30" x14ac:dyDescent="0.2">
      <c r="A180" s="39" t="s">
        <v>307</v>
      </c>
      <c r="B180" s="5">
        <v>0.46629999999999999</v>
      </c>
      <c r="C180" s="5">
        <v>0.49109999999999998</v>
      </c>
      <c r="D180" s="5">
        <v>0.46110000000000001</v>
      </c>
      <c r="E180" s="5">
        <v>0.20910000000000001</v>
      </c>
      <c r="F180" s="5">
        <v>0.33839999999999998</v>
      </c>
      <c r="G180" s="5">
        <v>0.34910000000000002</v>
      </c>
      <c r="H180" s="5">
        <v>0.43609999999999999</v>
      </c>
      <c r="I180" s="5">
        <v>0.31950000000000001</v>
      </c>
      <c r="J180" s="5">
        <v>0.36049999999999999</v>
      </c>
      <c r="K180" s="5">
        <v>0.24199999999999999</v>
      </c>
      <c r="L180" s="5">
        <v>0.23449999999999999</v>
      </c>
      <c r="M180" s="5">
        <v>0.19350000000000001</v>
      </c>
      <c r="N180" s="5">
        <v>0.20219999999999999</v>
      </c>
      <c r="O180" s="5">
        <v>0.19259999999999999</v>
      </c>
      <c r="P180" s="5">
        <v>0.22739999999999999</v>
      </c>
      <c r="Q180" s="5">
        <v>0.19070000000000001</v>
      </c>
      <c r="R180" s="5">
        <v>0.14660000000000001</v>
      </c>
      <c r="S180" s="5">
        <v>7.2800000000000004E-2</v>
      </c>
      <c r="T180" s="71">
        <v>0.31</v>
      </c>
      <c r="U180" s="5">
        <v>0.1913</v>
      </c>
      <c r="V180" s="5">
        <v>0.18790000000000001</v>
      </c>
      <c r="W180" s="5">
        <v>6.5799999999999997E-2</v>
      </c>
      <c r="X180" s="5">
        <v>2.7300000000000001E-2</v>
      </c>
      <c r="Y180" s="5">
        <v>0.13880000000000001</v>
      </c>
      <c r="Z180" s="5">
        <v>0.1174</v>
      </c>
      <c r="AA180" s="5">
        <v>0.3644</v>
      </c>
      <c r="AB180" s="5">
        <v>4.24E-2</v>
      </c>
      <c r="AC180" s="5">
        <v>-1.2E-2</v>
      </c>
    </row>
    <row r="181" spans="1:30" x14ac:dyDescent="0.2">
      <c r="A181" s="39" t="s">
        <v>308</v>
      </c>
      <c r="B181" s="5">
        <v>0.43590000000000001</v>
      </c>
      <c r="C181" s="5">
        <v>0.46629999999999999</v>
      </c>
      <c r="D181" s="5">
        <v>0.44350000000000001</v>
      </c>
      <c r="E181" s="5">
        <v>0.14119999999999999</v>
      </c>
      <c r="F181" s="5">
        <v>0.30209999999999998</v>
      </c>
      <c r="G181" s="5">
        <v>0.28149999999999997</v>
      </c>
      <c r="H181" s="5">
        <v>0.39129999999999998</v>
      </c>
      <c r="I181" s="5">
        <v>0.26829999999999998</v>
      </c>
      <c r="J181" s="5">
        <v>0.29949999999999999</v>
      </c>
      <c r="K181" s="5">
        <v>0.2165</v>
      </c>
      <c r="L181" s="5">
        <v>0.21740000000000001</v>
      </c>
      <c r="M181" s="5">
        <v>0.16739999999999999</v>
      </c>
      <c r="N181" s="5">
        <v>0.1404</v>
      </c>
      <c r="O181" s="5">
        <v>0.1497</v>
      </c>
      <c r="P181" s="5">
        <v>0.19270000000000001</v>
      </c>
      <c r="Q181" s="5">
        <v>0.16309999999999999</v>
      </c>
      <c r="R181" s="5">
        <v>0.12330000000000001</v>
      </c>
      <c r="S181" s="5">
        <v>-4.6199999999999998E-2</v>
      </c>
      <c r="T181" s="5">
        <v>0.26419999999999999</v>
      </c>
      <c r="U181" s="5">
        <v>0.14399999999999999</v>
      </c>
      <c r="V181" s="5">
        <v>0.15440000000000001</v>
      </c>
      <c r="W181" s="5">
        <v>3.2300000000000002E-2</v>
      </c>
      <c r="X181" s="5">
        <v>-4.2700000000000002E-2</v>
      </c>
      <c r="Y181" s="5">
        <v>0.1057</v>
      </c>
      <c r="Z181" s="5">
        <v>-2.0000000000000001E-4</v>
      </c>
      <c r="AA181" s="5">
        <v>0.315</v>
      </c>
      <c r="AB181" s="5">
        <v>1.14E-2</v>
      </c>
      <c r="AC181" s="5">
        <v>-6.1899999999999997E-2</v>
      </c>
    </row>
    <row r="182" spans="1:30" x14ac:dyDescent="0.2">
      <c r="A182" s="39" t="s">
        <v>309</v>
      </c>
      <c r="B182" s="89"/>
      <c r="C182" s="89"/>
      <c r="D182" s="89"/>
      <c r="E182" s="89"/>
      <c r="F182" s="89"/>
      <c r="G182" s="89"/>
      <c r="H182" s="89"/>
      <c r="I182" s="89"/>
      <c r="J182" s="89"/>
      <c r="K182" s="89"/>
      <c r="L182" s="89"/>
      <c r="M182" s="89"/>
      <c r="N182" s="89"/>
      <c r="O182" s="89"/>
      <c r="P182" s="89"/>
      <c r="Q182" s="89"/>
      <c r="R182" s="89"/>
      <c r="S182" s="89"/>
      <c r="T182" s="89"/>
      <c r="U182" s="89"/>
      <c r="V182" s="89"/>
      <c r="W182" s="89"/>
      <c r="X182" s="89"/>
      <c r="Y182" s="89"/>
      <c r="Z182" s="89"/>
      <c r="AA182" s="89"/>
      <c r="AB182" s="89"/>
      <c r="AC182" s="89"/>
      <c r="AD182" s="89"/>
    </row>
    <row r="183" spans="1:30" x14ac:dyDescent="0.2">
      <c r="A183" s="39" t="s">
        <v>310</v>
      </c>
      <c r="B183" s="5">
        <v>0.61529999999999996</v>
      </c>
      <c r="C183" s="5">
        <v>0.65300000000000002</v>
      </c>
      <c r="D183" s="5">
        <v>0.45279999999999998</v>
      </c>
      <c r="E183" s="5">
        <v>0.1061</v>
      </c>
      <c r="F183" s="5">
        <v>0.22070000000000001</v>
      </c>
      <c r="G183" s="5">
        <v>0.15049999999999999</v>
      </c>
      <c r="H183" s="5">
        <v>0.1615</v>
      </c>
      <c r="I183" s="5">
        <v>0.3115</v>
      </c>
      <c r="J183" s="5">
        <v>0.27110000000000001</v>
      </c>
      <c r="K183" s="5">
        <v>0.16930000000000001</v>
      </c>
      <c r="L183" s="5">
        <v>8.3299999999999999E-2</v>
      </c>
      <c r="M183" s="5">
        <v>8.7599999999999997E-2</v>
      </c>
      <c r="N183" s="5">
        <v>6.0699999999999997E-2</v>
      </c>
      <c r="O183" s="5">
        <v>8.77E-2</v>
      </c>
      <c r="P183" s="5">
        <v>0.1046</v>
      </c>
      <c r="Q183" s="5">
        <v>5.6300000000000003E-2</v>
      </c>
      <c r="R183" s="5">
        <v>-1.9E-2</v>
      </c>
      <c r="S183" s="5">
        <v>-8.9700000000000005E-3</v>
      </c>
      <c r="T183" s="5">
        <v>0.21279999999999999</v>
      </c>
      <c r="U183" s="5">
        <v>0.1678</v>
      </c>
      <c r="V183" s="5">
        <v>0.15409999999999999</v>
      </c>
      <c r="W183" s="5">
        <v>5.4399999999999997E-2</v>
      </c>
      <c r="X183" s="5">
        <v>5.3199999999999997E-2</v>
      </c>
      <c r="Y183" s="5">
        <v>5.62E-2</v>
      </c>
      <c r="Z183" s="5">
        <v>0.1177</v>
      </c>
      <c r="AA183" s="5">
        <v>9.6799999999999997E-2</v>
      </c>
      <c r="AB183" s="5">
        <v>0.20250000000000001</v>
      </c>
      <c r="AC183" s="5">
        <v>3.6200000000000003E-2</v>
      </c>
    </row>
    <row r="184" spans="1:30" x14ac:dyDescent="0.2">
      <c r="A184" s="39" t="s">
        <v>311</v>
      </c>
      <c r="B184" s="5">
        <v>0.83860000000000001</v>
      </c>
      <c r="C184" s="5">
        <v>0.91869999999999996</v>
      </c>
      <c r="D184" s="5">
        <v>0.69240000000000002</v>
      </c>
      <c r="E184" s="5">
        <v>0.1976</v>
      </c>
      <c r="F184" s="5">
        <v>0.36649999999999999</v>
      </c>
      <c r="G184" s="5">
        <v>0.25640000000000002</v>
      </c>
      <c r="H184" s="5">
        <v>0.2291</v>
      </c>
      <c r="I184" s="5">
        <v>0.44330000000000003</v>
      </c>
      <c r="J184" s="5">
        <v>0.4078</v>
      </c>
      <c r="K184" s="5">
        <v>0.28910000000000002</v>
      </c>
      <c r="L184" s="5">
        <v>0.13739999999999999</v>
      </c>
      <c r="M184" s="5">
        <v>0.14280000000000001</v>
      </c>
      <c r="N184" s="5">
        <v>9.8699999999999996E-2</v>
      </c>
      <c r="O184" s="5">
        <v>0.11650000000000001</v>
      </c>
      <c r="P184" s="5">
        <v>0.14019999999999999</v>
      </c>
      <c r="Q184" s="5">
        <v>7.9600000000000004E-2</v>
      </c>
      <c r="R184" s="5">
        <v>-2.5499999999999998E-2</v>
      </c>
      <c r="S184" s="5">
        <v>-1.2500000000000001E-2</v>
      </c>
      <c r="T184" s="5">
        <v>0.30470000000000003</v>
      </c>
      <c r="U184" s="5">
        <v>0.22359999999999999</v>
      </c>
      <c r="V184" s="5">
        <v>0.20130000000000001</v>
      </c>
      <c r="W184" s="5">
        <v>7.5200000000000003E-2</v>
      </c>
      <c r="X184" s="5">
        <v>7.0800000000000002E-2</v>
      </c>
      <c r="Y184" s="5">
        <v>9.74E-2</v>
      </c>
      <c r="Z184" s="5">
        <v>0.2316</v>
      </c>
      <c r="AA184" s="5">
        <v>0.2419</v>
      </c>
      <c r="AB184" s="5">
        <v>0.32879999999999998</v>
      </c>
      <c r="AC184" s="5">
        <v>6.3899999999999998E-2</v>
      </c>
    </row>
    <row r="185" spans="1:30" x14ac:dyDescent="0.2">
      <c r="A185" s="39" t="s">
        <v>312</v>
      </c>
      <c r="B185" s="5">
        <v>0.82399999999999995</v>
      </c>
      <c r="C185" s="5">
        <v>0.87070000000000003</v>
      </c>
      <c r="D185" s="5">
        <v>0.59840000000000004</v>
      </c>
      <c r="E185" s="5">
        <v>0.122</v>
      </c>
      <c r="F185" s="5">
        <v>0.252</v>
      </c>
      <c r="G185" s="5">
        <v>0.18229999999999999</v>
      </c>
      <c r="H185" s="5">
        <v>0.1832</v>
      </c>
      <c r="I185" s="5">
        <v>0.318</v>
      </c>
      <c r="J185" s="5">
        <v>0.31819999999999998</v>
      </c>
      <c r="K185" s="5">
        <v>0.24110000000000001</v>
      </c>
      <c r="L185" s="5">
        <v>0.1515</v>
      </c>
      <c r="M185" s="5">
        <v>0.12039999999999999</v>
      </c>
      <c r="N185" s="5">
        <v>7.8700000000000006E-2</v>
      </c>
      <c r="O185" s="5">
        <v>0.1192</v>
      </c>
      <c r="P185" s="5">
        <v>0.14019999999999999</v>
      </c>
      <c r="Q185" s="5">
        <v>7.1999999999999995E-2</v>
      </c>
      <c r="R185" s="5">
        <v>-3.5299999999999998E-2</v>
      </c>
      <c r="S185" s="5">
        <v>-2.75E-2</v>
      </c>
      <c r="T185" s="5">
        <v>0.30080000000000001</v>
      </c>
      <c r="U185" s="5">
        <v>0.22270000000000001</v>
      </c>
      <c r="V185" s="5">
        <v>0.22209999999999999</v>
      </c>
      <c r="W185" s="5">
        <v>7.8799999999999995E-2</v>
      </c>
      <c r="X185" s="5">
        <v>8.4599999999999995E-2</v>
      </c>
      <c r="Y185" s="5">
        <v>0.1163</v>
      </c>
      <c r="Z185" s="5">
        <v>0.22600000000000001</v>
      </c>
      <c r="AA185" s="5">
        <v>0.18110000000000001</v>
      </c>
      <c r="AB185" s="5">
        <v>0.46510000000000001</v>
      </c>
      <c r="AC185" s="5">
        <v>6.8000000000000005E-2</v>
      </c>
    </row>
    <row r="186" spans="1:30" x14ac:dyDescent="0.2">
      <c r="A186" s="39" t="s">
        <v>313</v>
      </c>
      <c r="B186" s="5">
        <v>0.78769999999999996</v>
      </c>
      <c r="C186" s="5">
        <v>0.83150000000000002</v>
      </c>
      <c r="D186" s="5">
        <v>0.60680000000000001</v>
      </c>
      <c r="E186" s="5">
        <v>0.14130000000000001</v>
      </c>
      <c r="F186" s="5">
        <v>0.26019999999999999</v>
      </c>
      <c r="G186" s="5">
        <v>0.18540000000000001</v>
      </c>
      <c r="H186" s="5">
        <v>0.57809999999999995</v>
      </c>
      <c r="I186" s="5">
        <v>0.36159999999999998</v>
      </c>
      <c r="J186" s="5">
        <v>0.50290000000000001</v>
      </c>
      <c r="K186" s="5">
        <v>0.27039999999999997</v>
      </c>
      <c r="L186" s="5">
        <v>0.1424</v>
      </c>
      <c r="M186" s="5">
        <v>0.10920000000000001</v>
      </c>
      <c r="N186" s="5">
        <v>8.3000000000000004E-2</v>
      </c>
      <c r="O186" s="5">
        <v>0.1171</v>
      </c>
      <c r="P186" s="5">
        <v>0.14360000000000001</v>
      </c>
      <c r="Q186" s="5">
        <v>8.2699999999999996E-2</v>
      </c>
      <c r="R186" s="5">
        <v>-3.4700000000000002E-2</v>
      </c>
      <c r="S186" s="5">
        <v>-2.3E-2</v>
      </c>
      <c r="T186" s="5">
        <v>0.3604</v>
      </c>
      <c r="U186" s="5">
        <v>0.27539999999999998</v>
      </c>
      <c r="V186" s="5">
        <v>0.29470000000000002</v>
      </c>
      <c r="W186" s="5">
        <v>7.8899999999999998E-2</v>
      </c>
      <c r="X186" s="5">
        <v>9.0999999999999998E-2</v>
      </c>
      <c r="Y186" s="5">
        <v>9.7500000000000003E-2</v>
      </c>
      <c r="Z186" s="5">
        <v>0.22969999999999999</v>
      </c>
      <c r="AA186" s="5">
        <v>2.6240000000000001</v>
      </c>
      <c r="AB186" s="5">
        <v>0.6169</v>
      </c>
      <c r="AC186" s="5">
        <v>0.25790000000000002</v>
      </c>
    </row>
    <row r="187" spans="1:30" x14ac:dyDescent="0.2">
      <c r="A187" s="39" t="s">
        <v>314</v>
      </c>
      <c r="B187" s="89"/>
      <c r="C187" s="89"/>
      <c r="D187" s="89"/>
      <c r="E187" s="89"/>
      <c r="F187" s="89"/>
      <c r="G187" s="89"/>
      <c r="H187" s="89"/>
      <c r="I187" s="89"/>
      <c r="J187" s="89"/>
      <c r="K187" s="89"/>
      <c r="L187" s="89"/>
      <c r="M187" s="89"/>
      <c r="N187" s="89"/>
      <c r="O187" s="89"/>
      <c r="P187" s="89"/>
      <c r="Q187" s="89"/>
      <c r="R187" s="89"/>
      <c r="S187" s="89"/>
      <c r="T187" s="89"/>
      <c r="U187" s="89"/>
      <c r="V187" s="89"/>
      <c r="W187" s="89"/>
      <c r="X187" s="89"/>
      <c r="Y187" s="89"/>
      <c r="Z187" s="89"/>
      <c r="AA187" s="89"/>
      <c r="AB187" s="89"/>
      <c r="AC187" s="89"/>
      <c r="AD187" s="89"/>
    </row>
    <row r="188" spans="1:30" x14ac:dyDescent="0.2">
      <c r="A188" s="39" t="s">
        <v>315</v>
      </c>
      <c r="B188" s="3">
        <v>5.94</v>
      </c>
      <c r="C188" s="3">
        <v>5.66</v>
      </c>
      <c r="D188" s="3">
        <v>6.09</v>
      </c>
      <c r="E188" s="3">
        <v>7.05</v>
      </c>
      <c r="F188" s="3">
        <v>5.79</v>
      </c>
      <c r="G188" s="3">
        <v>6.86</v>
      </c>
      <c r="H188" s="3">
        <v>6.59</v>
      </c>
      <c r="I188" s="3">
        <v>8.23</v>
      </c>
      <c r="J188" s="3">
        <v>7.68</v>
      </c>
      <c r="K188" s="3">
        <v>8.3699999999999992</v>
      </c>
      <c r="L188" s="3">
        <v>9.92</v>
      </c>
      <c r="M188" s="3">
        <v>9.8800000000000008</v>
      </c>
      <c r="N188" s="3">
        <v>9.69</v>
      </c>
      <c r="O188" s="3">
        <v>9.42</v>
      </c>
      <c r="P188" s="3">
        <v>11.89</v>
      </c>
      <c r="Q188" s="3">
        <v>10.16</v>
      </c>
      <c r="R188" s="3">
        <v>8.8699999999999992</v>
      </c>
      <c r="S188" s="3">
        <v>10.76</v>
      </c>
      <c r="T188" s="3">
        <v>6.15</v>
      </c>
      <c r="U188" s="3">
        <v>5.92</v>
      </c>
      <c r="V188" s="3">
        <v>7.47</v>
      </c>
      <c r="W188" s="3">
        <v>6.78</v>
      </c>
      <c r="X188" s="3">
        <v>9.27</v>
      </c>
      <c r="Y188" s="3">
        <v>12.36</v>
      </c>
      <c r="Z188" s="3">
        <v>9.2899999999999991</v>
      </c>
      <c r="AA188" s="3">
        <v>7</v>
      </c>
      <c r="AB188" s="3">
        <v>5.57</v>
      </c>
      <c r="AC188" s="3">
        <v>7.68</v>
      </c>
    </row>
    <row r="189" spans="1:30" x14ac:dyDescent="0.2">
      <c r="A189" s="39" t="s">
        <v>316</v>
      </c>
      <c r="B189" s="3">
        <v>5.5</v>
      </c>
      <c r="C189" s="3">
        <v>5.17</v>
      </c>
      <c r="D189" s="3">
        <v>6.16</v>
      </c>
      <c r="E189" s="3">
        <v>9.74</v>
      </c>
      <c r="F189" s="3">
        <v>5.29</v>
      </c>
      <c r="G189" s="3">
        <v>5.46</v>
      </c>
      <c r="H189" s="3">
        <v>6.04</v>
      </c>
      <c r="I189" s="3">
        <v>8.89</v>
      </c>
      <c r="J189" s="3">
        <v>6.53</v>
      </c>
      <c r="K189" s="3">
        <v>5.87</v>
      </c>
      <c r="L189" s="3">
        <v>7.43</v>
      </c>
      <c r="M189" s="3">
        <v>7.11</v>
      </c>
      <c r="N189" s="3">
        <v>5.74</v>
      </c>
      <c r="O189" s="3">
        <v>5.76</v>
      </c>
      <c r="P189" s="3">
        <v>5.79</v>
      </c>
      <c r="Q189" s="3">
        <v>7.46</v>
      </c>
      <c r="R189" s="3">
        <v>6.24</v>
      </c>
      <c r="S189" s="3">
        <v>10.28</v>
      </c>
      <c r="T189" s="3">
        <v>4.53</v>
      </c>
      <c r="U189" s="3">
        <v>6.5</v>
      </c>
      <c r="V189" s="3">
        <v>8.17</v>
      </c>
      <c r="W189" s="3">
        <v>5.72</v>
      </c>
      <c r="X189" s="3">
        <v>6.98</v>
      </c>
      <c r="Y189" s="3">
        <v>9.4499999999999993</v>
      </c>
      <c r="Z189" s="3">
        <v>3.97</v>
      </c>
      <c r="AA189" s="3">
        <v>6.4</v>
      </c>
      <c r="AB189" s="3">
        <v>3.58</v>
      </c>
      <c r="AC189" s="3">
        <v>2.89</v>
      </c>
    </row>
    <row r="190" spans="1:30" x14ac:dyDescent="0.2">
      <c r="A190" s="39" t="s">
        <v>317</v>
      </c>
      <c r="B190" s="3">
        <v>3.33</v>
      </c>
      <c r="C190" s="3">
        <v>3.24</v>
      </c>
      <c r="D190" s="3">
        <v>3.15</v>
      </c>
      <c r="E190" s="3">
        <v>2.25</v>
      </c>
      <c r="F190" s="3">
        <v>3.62</v>
      </c>
      <c r="G190" s="3">
        <v>3.44</v>
      </c>
      <c r="H190" s="3">
        <v>4.24</v>
      </c>
      <c r="I190" s="3">
        <v>2.89</v>
      </c>
      <c r="J190" s="3">
        <v>4.8899999999999997</v>
      </c>
      <c r="K190" s="3">
        <v>3.59</v>
      </c>
      <c r="L190" s="3">
        <v>5.26</v>
      </c>
      <c r="M190" s="3">
        <v>4.3099999999999996</v>
      </c>
      <c r="N190" s="3">
        <v>4.8</v>
      </c>
      <c r="O190" s="3">
        <v>4.9800000000000004</v>
      </c>
      <c r="P190" s="3">
        <v>5.71</v>
      </c>
      <c r="Q190" s="3">
        <v>6.18</v>
      </c>
      <c r="R190" s="3">
        <v>6.5</v>
      </c>
      <c r="S190" s="3">
        <v>4.18</v>
      </c>
      <c r="T190" s="3">
        <v>6.22</v>
      </c>
      <c r="U190" s="3">
        <v>4.99</v>
      </c>
      <c r="V190" s="3">
        <v>5.75</v>
      </c>
      <c r="W190" s="3">
        <v>4.32</v>
      </c>
      <c r="X190" s="3">
        <v>5.52</v>
      </c>
      <c r="Y190" s="3">
        <v>9.19</v>
      </c>
      <c r="Z190" s="3">
        <v>3.98</v>
      </c>
      <c r="AA190" s="3">
        <v>5.12</v>
      </c>
      <c r="AB190" s="3">
        <v>6.18</v>
      </c>
      <c r="AC190" s="3">
        <v>3.61</v>
      </c>
    </row>
    <row r="191" spans="1:30" x14ac:dyDescent="0.2">
      <c r="A191" s="39" t="s">
        <v>318</v>
      </c>
      <c r="B191" s="3">
        <v>14.72</v>
      </c>
      <c r="C191" s="3">
        <v>16.16</v>
      </c>
      <c r="D191" s="3">
        <v>11.58</v>
      </c>
      <c r="E191" s="3">
        <v>5.57</v>
      </c>
      <c r="F191" s="3">
        <v>7.46</v>
      </c>
      <c r="G191" s="3">
        <v>5.84</v>
      </c>
      <c r="H191" s="3">
        <v>4.76</v>
      </c>
      <c r="I191" s="3">
        <v>8.34</v>
      </c>
      <c r="J191" s="3">
        <v>9.74</v>
      </c>
      <c r="K191" s="3">
        <v>13.26</v>
      </c>
      <c r="L191" s="3">
        <v>10.75</v>
      </c>
      <c r="M191" s="3">
        <v>8.41</v>
      </c>
      <c r="N191" s="3">
        <v>7.09</v>
      </c>
      <c r="O191" s="3">
        <v>7.43</v>
      </c>
      <c r="P191" s="3">
        <v>7.14</v>
      </c>
      <c r="Q191" s="3">
        <v>6.23</v>
      </c>
      <c r="R191" s="3">
        <v>5.82</v>
      </c>
      <c r="S191" s="3">
        <v>5.47</v>
      </c>
      <c r="T191" s="3">
        <v>11.39</v>
      </c>
      <c r="U191" s="3">
        <v>11.77</v>
      </c>
      <c r="V191" s="3">
        <v>13.34</v>
      </c>
      <c r="W191" s="3">
        <v>11.23</v>
      </c>
      <c r="X191" s="3">
        <v>9.59</v>
      </c>
      <c r="Y191" s="3">
        <v>14.13</v>
      </c>
      <c r="Z191" s="3">
        <v>11.4</v>
      </c>
      <c r="AA191" s="3">
        <v>15.55</v>
      </c>
      <c r="AB191" s="3">
        <v>14.47</v>
      </c>
      <c r="AC191" s="3">
        <v>13.52</v>
      </c>
    </row>
    <row r="192" spans="1:30" x14ac:dyDescent="0.2">
      <c r="A192" s="39" t="s">
        <v>319</v>
      </c>
      <c r="B192" s="3">
        <v>1.17</v>
      </c>
      <c r="C192" s="3">
        <v>1.17</v>
      </c>
      <c r="D192" s="3">
        <v>0.92700000000000005</v>
      </c>
      <c r="E192" s="3">
        <v>0.65500000000000003</v>
      </c>
      <c r="F192" s="3">
        <v>0.60899999999999999</v>
      </c>
      <c r="G192" s="3">
        <v>0.57899999999999996</v>
      </c>
      <c r="H192" s="3">
        <v>0.63100000000000001</v>
      </c>
      <c r="I192" s="3">
        <v>0.88100000000000001</v>
      </c>
      <c r="J192" s="3">
        <v>0.86399999999999999</v>
      </c>
      <c r="K192" s="3">
        <v>0.70199999999999996</v>
      </c>
      <c r="L192" s="3">
        <v>0.68</v>
      </c>
      <c r="M192" s="3">
        <v>0.65</v>
      </c>
      <c r="N192" s="3">
        <v>0.56999999999999995</v>
      </c>
      <c r="O192" s="3">
        <v>0.66700000000000004</v>
      </c>
      <c r="P192" s="3">
        <v>0.72</v>
      </c>
      <c r="Q192" s="3">
        <v>0.78800000000000003</v>
      </c>
      <c r="R192" s="3">
        <v>0.92800000000000005</v>
      </c>
      <c r="S192" s="3">
        <v>1.02</v>
      </c>
      <c r="T192" s="3">
        <v>1.0900000000000001</v>
      </c>
      <c r="U192" s="3">
        <v>1.1499999999999999</v>
      </c>
      <c r="V192" s="3">
        <v>1.22</v>
      </c>
      <c r="W192" s="3">
        <v>1.23</v>
      </c>
      <c r="X192" s="3">
        <v>1.3</v>
      </c>
      <c r="Y192" s="3">
        <v>1.18</v>
      </c>
      <c r="Z192" s="3">
        <v>0.91100000000000003</v>
      </c>
      <c r="AA192" s="3">
        <v>0.72299999999999998</v>
      </c>
      <c r="AB192" s="3">
        <v>1.85</v>
      </c>
      <c r="AC192" s="3">
        <v>1.4</v>
      </c>
    </row>
    <row r="193" spans="1:30" x14ac:dyDescent="0.2">
      <c r="A193" s="39" t="s">
        <v>320</v>
      </c>
      <c r="B193" s="89"/>
      <c r="C193" s="89"/>
      <c r="D193" s="89"/>
      <c r="E193" s="89"/>
      <c r="F193" s="89"/>
      <c r="G193" s="89"/>
      <c r="H193" s="89"/>
      <c r="I193" s="89"/>
      <c r="J193" s="89"/>
      <c r="K193" s="89"/>
      <c r="L193" s="89"/>
      <c r="M193" s="89"/>
      <c r="N193" s="89"/>
      <c r="O193" s="89"/>
      <c r="P193" s="89"/>
      <c r="Q193" s="89"/>
      <c r="R193" s="89"/>
      <c r="S193" s="89"/>
      <c r="T193" s="89"/>
      <c r="U193" s="89"/>
      <c r="V193" s="89"/>
      <c r="W193" s="89"/>
      <c r="X193" s="89"/>
      <c r="Y193" s="89"/>
      <c r="Z193" s="89"/>
      <c r="AA193" s="89"/>
      <c r="AB193" s="89"/>
      <c r="AC193" s="89"/>
      <c r="AD193" s="89"/>
    </row>
    <row r="194" spans="1:30" x14ac:dyDescent="0.2">
      <c r="A194" s="39" t="s">
        <v>321</v>
      </c>
      <c r="B194" s="3">
        <v>6.78</v>
      </c>
      <c r="C194" s="3">
        <v>5.31</v>
      </c>
      <c r="D194" s="3">
        <v>2.4700000000000002</v>
      </c>
      <c r="E194" s="3">
        <v>1.08</v>
      </c>
      <c r="F194" s="3">
        <v>1.08</v>
      </c>
      <c r="G194" s="3">
        <v>0.67600000000000005</v>
      </c>
      <c r="H194" s="3">
        <v>0.44800000000000001</v>
      </c>
      <c r="I194" s="3">
        <v>0.48199999999999998</v>
      </c>
      <c r="J194" s="3">
        <v>0.40500000000000003</v>
      </c>
      <c r="K194" s="3">
        <v>0.31900000000000001</v>
      </c>
      <c r="L194" s="3">
        <v>0.23100000000000001</v>
      </c>
      <c r="M194" s="3">
        <v>0.21199999999999999</v>
      </c>
      <c r="N194" s="3">
        <v>0.17599999999999999</v>
      </c>
      <c r="O194" s="3">
        <v>0.17299999999999999</v>
      </c>
      <c r="P194" s="3">
        <v>0.16600000000000001</v>
      </c>
      <c r="Q194" s="3">
        <v>0.154</v>
      </c>
      <c r="R194" s="3">
        <v>0.151</v>
      </c>
      <c r="S194" s="3">
        <v>0.156</v>
      </c>
      <c r="T194" s="3">
        <v>0.186</v>
      </c>
      <c r="U194" s="3">
        <v>0.14499999999999999</v>
      </c>
      <c r="V194" s="3">
        <v>0.11700000000000001</v>
      </c>
      <c r="W194" s="3">
        <v>0.10100000000000001</v>
      </c>
      <c r="X194" s="3">
        <v>9.4E-2</v>
      </c>
      <c r="Y194" s="3">
        <v>0.104</v>
      </c>
      <c r="Z194" s="3">
        <v>0.08</v>
      </c>
      <c r="AA194" s="3">
        <v>4.7E-2</v>
      </c>
      <c r="AB194" s="3">
        <v>2.5999999999999999E-2</v>
      </c>
      <c r="AC194" s="3">
        <v>1.0999999999999999E-2</v>
      </c>
    </row>
    <row r="195" spans="1:30" x14ac:dyDescent="0.2">
      <c r="A195" s="39" t="s">
        <v>322</v>
      </c>
      <c r="B195" s="3">
        <v>3.16</v>
      </c>
      <c r="C195" s="3">
        <v>2.61</v>
      </c>
      <c r="D195" s="3">
        <v>1.1399999999999999</v>
      </c>
      <c r="E195" s="3">
        <v>0.22700000000000001</v>
      </c>
      <c r="F195" s="3">
        <v>0.36499999999999999</v>
      </c>
      <c r="G195" s="3">
        <v>0.23599999999999999</v>
      </c>
      <c r="H195" s="3">
        <v>0.19500000000000001</v>
      </c>
      <c r="I195" s="3">
        <v>0.154</v>
      </c>
      <c r="J195" s="3">
        <v>0.14599999999999999</v>
      </c>
      <c r="K195" s="3">
        <v>7.6999999999999999E-2</v>
      </c>
      <c r="L195" s="3">
        <v>5.3999999999999999E-2</v>
      </c>
      <c r="M195" s="3">
        <v>4.1000000000000002E-2</v>
      </c>
      <c r="N195" s="3">
        <v>3.5999999999999997E-2</v>
      </c>
      <c r="O195" s="3">
        <v>3.3000000000000002E-2</v>
      </c>
      <c r="P195" s="3">
        <v>3.7999999999999999E-2</v>
      </c>
      <c r="Q195" s="3">
        <v>2.9000000000000001E-2</v>
      </c>
      <c r="R195" s="3">
        <v>2.1999999999999999E-2</v>
      </c>
      <c r="S195" s="3">
        <v>1.0999999999999999E-2</v>
      </c>
      <c r="T195" s="3">
        <v>5.8000000000000003E-2</v>
      </c>
      <c r="U195" s="3">
        <v>2.8000000000000001E-2</v>
      </c>
      <c r="V195" s="3">
        <v>2.1999999999999999E-2</v>
      </c>
      <c r="W195" s="3">
        <v>7.0000000000000001E-3</v>
      </c>
      <c r="X195" s="3">
        <v>3.0000000000000001E-3</v>
      </c>
      <c r="Y195" s="3">
        <v>1.4E-2</v>
      </c>
      <c r="Z195" s="3">
        <v>8.9999999999999993E-3</v>
      </c>
      <c r="AA195" s="3">
        <v>1.7000000000000001E-2</v>
      </c>
      <c r="AB195" s="3">
        <v>1E-3</v>
      </c>
      <c r="AC195" s="3">
        <v>0</v>
      </c>
    </row>
    <row r="196" spans="1:30" x14ac:dyDescent="0.2">
      <c r="A196" s="39" t="s">
        <v>18</v>
      </c>
      <c r="B196" s="3">
        <v>2.96</v>
      </c>
      <c r="C196" s="3">
        <v>2.48</v>
      </c>
      <c r="D196" s="3">
        <v>1.0900000000000001</v>
      </c>
      <c r="E196" s="3">
        <v>0.153</v>
      </c>
      <c r="F196" s="3">
        <v>0.32600000000000001</v>
      </c>
      <c r="G196" s="3">
        <v>0.19</v>
      </c>
      <c r="H196" s="3">
        <v>0.17499999999999999</v>
      </c>
      <c r="I196" s="3">
        <v>0.129</v>
      </c>
      <c r="J196" s="3">
        <v>0.121</v>
      </c>
      <c r="K196" s="3">
        <v>6.9000000000000006E-2</v>
      </c>
      <c r="L196" s="3">
        <v>0.05</v>
      </c>
      <c r="M196" s="3">
        <v>3.5000000000000003E-2</v>
      </c>
      <c r="N196" s="3">
        <v>2.5000000000000001E-2</v>
      </c>
      <c r="O196" s="3">
        <v>2.5999999999999999E-2</v>
      </c>
      <c r="P196" s="3">
        <v>3.2000000000000001E-2</v>
      </c>
      <c r="Q196" s="3">
        <v>2.5000000000000001E-2</v>
      </c>
      <c r="R196" s="3">
        <v>1.9E-2</v>
      </c>
      <c r="S196" s="3">
        <v>-7.0000000000000001E-3</v>
      </c>
      <c r="T196" s="3">
        <v>4.9000000000000002E-2</v>
      </c>
      <c r="U196" s="3">
        <v>2.1000000000000001E-2</v>
      </c>
      <c r="V196" s="3">
        <v>1.7999999999999999E-2</v>
      </c>
      <c r="W196" s="3">
        <v>3.0000000000000001E-3</v>
      </c>
      <c r="X196" s="3">
        <v>-4.0000000000000001E-3</v>
      </c>
      <c r="Y196" s="3">
        <v>1.0999999999999999E-2</v>
      </c>
      <c r="Z196" s="3">
        <v>0</v>
      </c>
      <c r="AA196" s="3">
        <v>1.4999999999999999E-2</v>
      </c>
      <c r="AB196" s="3">
        <v>0</v>
      </c>
      <c r="AC196" s="3">
        <v>-1E-3</v>
      </c>
    </row>
    <row r="197" spans="1:30" x14ac:dyDescent="0.2">
      <c r="A197" s="39" t="s">
        <v>323</v>
      </c>
      <c r="B197" s="3">
        <v>2.33</v>
      </c>
      <c r="C197" s="3">
        <v>1.76</v>
      </c>
      <c r="D197" s="3">
        <v>1.05</v>
      </c>
      <c r="E197" s="3">
        <v>0.53500000000000003</v>
      </c>
      <c r="F197" s="3">
        <v>0.85</v>
      </c>
      <c r="G197" s="3">
        <v>0.46800000000000003</v>
      </c>
      <c r="H197" s="3">
        <v>0.44700000000000001</v>
      </c>
      <c r="I197" s="3">
        <v>0.30499999999999999</v>
      </c>
      <c r="J197" s="3">
        <v>0.29699999999999999</v>
      </c>
      <c r="K197" s="3">
        <v>0.314</v>
      </c>
      <c r="L197" s="3">
        <v>0.23200000000000001</v>
      </c>
      <c r="M197" s="3">
        <v>0.20899999999999999</v>
      </c>
      <c r="N197" s="3">
        <v>0.19900000000000001</v>
      </c>
      <c r="O197" s="3">
        <v>0.15</v>
      </c>
      <c r="P197" s="3">
        <v>0.13</v>
      </c>
      <c r="Q197" s="3">
        <v>0.108</v>
      </c>
      <c r="R197" s="3">
        <v>7.9000000000000001E-2</v>
      </c>
      <c r="S197" s="3">
        <v>5.7000000000000002E-2</v>
      </c>
      <c r="T197" s="3">
        <v>8.2000000000000003E-2</v>
      </c>
      <c r="U197" s="3">
        <v>5.2999999999999999E-2</v>
      </c>
      <c r="V197" s="3">
        <v>4.7E-2</v>
      </c>
      <c r="W197" s="3">
        <v>3.4000000000000002E-2</v>
      </c>
      <c r="X197" s="3">
        <v>3.1E-2</v>
      </c>
      <c r="Y197" s="3">
        <v>5.6000000000000001E-2</v>
      </c>
      <c r="Z197" s="3">
        <v>4.5999999999999999E-2</v>
      </c>
      <c r="AA197" s="3">
        <v>4.2999999999999997E-2</v>
      </c>
      <c r="AB197" s="3">
        <v>4.0000000000000001E-3</v>
      </c>
      <c r="AC197" s="3">
        <v>4.0000000000000001E-3</v>
      </c>
    </row>
    <row r="198" spans="1:30" x14ac:dyDescent="0.2">
      <c r="A198" s="39" t="s">
        <v>324</v>
      </c>
      <c r="B198" s="3">
        <v>3.55</v>
      </c>
      <c r="C198" s="3">
        <v>2.97</v>
      </c>
      <c r="D198" s="3">
        <v>1.21</v>
      </c>
      <c r="E198" s="3">
        <v>0.17599999999999999</v>
      </c>
      <c r="F198" s="3">
        <v>0.39100000000000001</v>
      </c>
      <c r="G198" s="3">
        <v>0.17599999999999999</v>
      </c>
      <c r="H198" s="3">
        <v>0.115</v>
      </c>
      <c r="I198" s="3">
        <v>0.17</v>
      </c>
      <c r="J198" s="3">
        <v>0.127</v>
      </c>
      <c r="K198" s="3">
        <v>7.6999999999999999E-2</v>
      </c>
      <c r="L198" s="3">
        <v>2.8000000000000001E-2</v>
      </c>
      <c r="M198" s="3">
        <v>2.9000000000000001E-2</v>
      </c>
      <c r="N198" s="3">
        <v>1.9E-2</v>
      </c>
      <c r="O198" s="3">
        <v>2.3E-2</v>
      </c>
      <c r="P198" s="3">
        <v>2.4E-2</v>
      </c>
      <c r="Q198" s="3">
        <v>1.0999999999999999E-2</v>
      </c>
      <c r="R198" s="3">
        <v>-3.0000000000000001E-3</v>
      </c>
      <c r="S198" s="3">
        <v>-1E-3</v>
      </c>
      <c r="T198" s="3">
        <v>3.5999999999999997E-2</v>
      </c>
      <c r="U198" s="3">
        <v>2.1000000000000001E-2</v>
      </c>
      <c r="V198" s="3">
        <v>1.4999999999999999E-2</v>
      </c>
      <c r="W198" s="3">
        <v>4.0000000000000001E-3</v>
      </c>
      <c r="X198" s="3">
        <v>4.0000000000000001E-3</v>
      </c>
      <c r="Y198" s="3">
        <v>5.0000000000000001E-3</v>
      </c>
      <c r="Z198" s="3">
        <v>0.01</v>
      </c>
      <c r="AA198" s="3">
        <v>6.0000000000000001E-3</v>
      </c>
      <c r="AB198" s="3">
        <v>3.0000000000000001E-3</v>
      </c>
      <c r="AC198" s="3">
        <v>0</v>
      </c>
    </row>
    <row r="199" spans="1:30" x14ac:dyDescent="0.2">
      <c r="A199" s="39" t="s">
        <v>325</v>
      </c>
      <c r="B199" s="3">
        <v>4.07</v>
      </c>
      <c r="C199" s="3">
        <v>3.39</v>
      </c>
      <c r="D199" s="3">
        <v>1.4</v>
      </c>
      <c r="E199" s="3">
        <v>0.23200000000000001</v>
      </c>
      <c r="F199" s="3">
        <v>0.44900000000000001</v>
      </c>
      <c r="G199" s="3">
        <v>0.22800000000000001</v>
      </c>
      <c r="H199" s="3">
        <v>0.13200000000000001</v>
      </c>
      <c r="I199" s="3">
        <v>0.16700000000000001</v>
      </c>
      <c r="J199" s="3">
        <v>0.14199999999999999</v>
      </c>
      <c r="K199" s="3">
        <v>9.8000000000000004E-2</v>
      </c>
      <c r="L199" s="3">
        <v>4.2999999999999997E-2</v>
      </c>
      <c r="M199" s="3">
        <v>4.3999999999999997E-2</v>
      </c>
      <c r="N199" s="3">
        <v>3.1E-2</v>
      </c>
      <c r="O199" s="3">
        <v>3.5000000000000003E-2</v>
      </c>
      <c r="P199" s="3">
        <v>3.5000000000000003E-2</v>
      </c>
      <c r="Q199" s="3">
        <v>1.9E-2</v>
      </c>
      <c r="R199" s="3">
        <v>4.0000000000000001E-3</v>
      </c>
      <c r="S199" s="3">
        <v>5.0000000000000001E-3</v>
      </c>
      <c r="T199" s="3">
        <v>4.3999999999999997E-2</v>
      </c>
      <c r="U199" s="3">
        <v>2.7E-2</v>
      </c>
      <c r="V199" s="3">
        <v>2.1000000000000001E-2</v>
      </c>
      <c r="W199" s="3">
        <v>0.01</v>
      </c>
      <c r="X199" s="3">
        <v>8.9999999999999993E-3</v>
      </c>
      <c r="Y199" s="3">
        <v>1.0999999999999999E-2</v>
      </c>
      <c r="Z199" s="3">
        <v>1.7000000000000001E-2</v>
      </c>
      <c r="AA199" s="3">
        <v>8.9999999999999993E-3</v>
      </c>
      <c r="AB199" s="3">
        <v>5.0000000000000001E-3</v>
      </c>
      <c r="AC199" s="3">
        <v>1E-3</v>
      </c>
    </row>
    <row r="200" spans="1:30" x14ac:dyDescent="0.2">
      <c r="A200" s="39" t="s">
        <v>35</v>
      </c>
      <c r="B200" s="3">
        <v>4.1000000000000002E-2</v>
      </c>
      <c r="C200" s="3">
        <v>3.4000000000000002E-2</v>
      </c>
      <c r="D200" s="3">
        <v>1.6E-2</v>
      </c>
      <c r="E200" s="3">
        <v>1.6E-2</v>
      </c>
      <c r="F200" s="3">
        <v>1.6E-2</v>
      </c>
      <c r="G200" s="3">
        <v>1.6E-2</v>
      </c>
      <c r="H200" s="3">
        <v>1.6E-2</v>
      </c>
      <c r="I200" s="3">
        <v>1.4999999999999999E-2</v>
      </c>
      <c r="J200" s="3">
        <v>1.4E-2</v>
      </c>
      <c r="K200" s="3">
        <v>1.2E-2</v>
      </c>
      <c r="L200" s="3">
        <v>0.01</v>
      </c>
      <c r="M200" s="3">
        <v>8.0000000000000002E-3</v>
      </c>
      <c r="N200" s="3">
        <v>8.0000000000000002E-3</v>
      </c>
      <c r="O200" s="3">
        <v>2E-3</v>
      </c>
      <c r="P200" s="3">
        <v>0</v>
      </c>
      <c r="Q200" s="3">
        <v>0</v>
      </c>
      <c r="R200" s="3">
        <v>0</v>
      </c>
      <c r="S200" s="3">
        <v>0</v>
      </c>
      <c r="T200" s="3">
        <v>0</v>
      </c>
      <c r="U200" s="3">
        <v>0</v>
      </c>
      <c r="V200" s="3">
        <v>0</v>
      </c>
      <c r="W200" s="3">
        <v>0</v>
      </c>
      <c r="X200" s="3">
        <v>0</v>
      </c>
      <c r="Y200" s="3">
        <v>0</v>
      </c>
      <c r="Z200" s="3">
        <v>0</v>
      </c>
      <c r="AA200" s="3">
        <v>0</v>
      </c>
      <c r="AB200" s="3">
        <v>0</v>
      </c>
      <c r="AC200" s="3">
        <v>0</v>
      </c>
    </row>
    <row r="201" spans="1:30" x14ac:dyDescent="0.2">
      <c r="A201" s="39" t="s">
        <v>326</v>
      </c>
      <c r="B201" s="3">
        <v>190.2</v>
      </c>
      <c r="C201" s="3">
        <v>118.7</v>
      </c>
      <c r="D201" s="3">
        <v>60.93</v>
      </c>
      <c r="E201" s="3">
        <v>19.489999999999998</v>
      </c>
      <c r="F201" s="3">
        <v>24.11</v>
      </c>
      <c r="G201" s="3">
        <v>13.08</v>
      </c>
      <c r="H201" s="3">
        <v>5.57</v>
      </c>
      <c r="I201" s="3">
        <v>3.37</v>
      </c>
      <c r="J201" s="3">
        <v>5.94</v>
      </c>
      <c r="K201" s="3">
        <v>2.5499999999999998</v>
      </c>
      <c r="L201" s="3">
        <v>0.56999999999999995</v>
      </c>
      <c r="M201" s="3">
        <v>0.33400000000000002</v>
      </c>
      <c r="N201" s="3">
        <v>0.252</v>
      </c>
      <c r="O201" s="3">
        <v>0.157</v>
      </c>
      <c r="P201" s="3">
        <v>0.24099999999999999</v>
      </c>
      <c r="Q201" s="3">
        <v>0.49099999999999999</v>
      </c>
      <c r="R201" s="3">
        <v>0.33700000000000002</v>
      </c>
      <c r="S201" s="3">
        <v>0.14299999999999999</v>
      </c>
      <c r="T201" s="3">
        <v>0</v>
      </c>
      <c r="U201" s="3">
        <v>0</v>
      </c>
      <c r="V201" s="3">
        <v>0</v>
      </c>
      <c r="W201" s="3">
        <v>0.157</v>
      </c>
      <c r="X201" s="3">
        <v>0.154</v>
      </c>
      <c r="Y201" s="3">
        <v>4.7E-2</v>
      </c>
      <c r="Z201" s="3">
        <v>0.52</v>
      </c>
      <c r="AA201" s="3">
        <v>0.191</v>
      </c>
      <c r="AB201" s="3">
        <v>7.2999999999999995E-2</v>
      </c>
      <c r="AC201" s="3">
        <v>3.6999999999999998E-2</v>
      </c>
    </row>
    <row r="202" spans="1:30" x14ac:dyDescent="0.2">
      <c r="A202" s="39" t="s">
        <v>16</v>
      </c>
      <c r="B202" s="2"/>
      <c r="C202" s="3">
        <v>4.24</v>
      </c>
      <c r="D202" s="3">
        <v>3.23</v>
      </c>
      <c r="E202" s="3">
        <v>1.74</v>
      </c>
      <c r="F202" s="3">
        <v>0.88900000000000001</v>
      </c>
      <c r="G202" s="3">
        <v>1.07</v>
      </c>
      <c r="H202" s="3">
        <v>0.68400000000000005</v>
      </c>
      <c r="I202" s="3">
        <v>0.501</v>
      </c>
      <c r="J202" s="3">
        <v>0.38400000000000001</v>
      </c>
      <c r="K202" s="3">
        <v>0.312</v>
      </c>
      <c r="L202" s="3">
        <v>0.26600000000000001</v>
      </c>
      <c r="M202" s="3">
        <v>0.20599999999999999</v>
      </c>
      <c r="N202" s="3">
        <v>0.2</v>
      </c>
      <c r="O202" s="3">
        <v>0.19</v>
      </c>
      <c r="P202" s="3">
        <v>0.19500000000000001</v>
      </c>
      <c r="Q202" s="3">
        <v>0.17199999999999999</v>
      </c>
      <c r="R202" s="3">
        <v>0.13800000000000001</v>
      </c>
      <c r="S202" s="3">
        <v>0.121</v>
      </c>
      <c r="T202" s="3">
        <v>0.109</v>
      </c>
      <c r="U202" s="3">
        <v>0.11899999999999999</v>
      </c>
      <c r="V202" s="3">
        <v>9.5000000000000001E-2</v>
      </c>
      <c r="W202" s="3">
        <v>7.3999999999999996E-2</v>
      </c>
      <c r="X202" s="3">
        <v>5.8999999999999997E-2</v>
      </c>
      <c r="Y202" s="3">
        <v>5.3999999999999999E-2</v>
      </c>
      <c r="Z202" s="3">
        <v>5.0999999999999997E-2</v>
      </c>
      <c r="AA202" s="3">
        <v>4.4999999999999998E-2</v>
      </c>
      <c r="AB202" s="3">
        <v>2.5999999999999999E-2</v>
      </c>
      <c r="AC202" s="3">
        <v>8.9999999999999993E-3</v>
      </c>
      <c r="AD202" s="3">
        <v>5.0000000000000001E-3</v>
      </c>
    </row>
    <row r="203" spans="1:30" x14ac:dyDescent="0.2">
      <c r="A203" s="39" t="s">
        <v>327</v>
      </c>
      <c r="B203" s="3">
        <v>192.1</v>
      </c>
      <c r="C203" s="3">
        <v>120.1</v>
      </c>
      <c r="D203" s="3">
        <v>61.53</v>
      </c>
      <c r="E203" s="3">
        <v>19.54</v>
      </c>
      <c r="F203" s="3">
        <v>24.49</v>
      </c>
      <c r="G203" s="3">
        <v>13.24</v>
      </c>
      <c r="H203" s="3">
        <v>5.91</v>
      </c>
      <c r="I203" s="3">
        <v>3.59</v>
      </c>
      <c r="J203" s="3">
        <v>6.15</v>
      </c>
      <c r="K203" s="3">
        <v>2.73</v>
      </c>
      <c r="L203" s="3">
        <v>0.73199999999999998</v>
      </c>
      <c r="M203" s="3">
        <v>0.48</v>
      </c>
      <c r="N203" s="3">
        <v>0.39300000000000002</v>
      </c>
      <c r="O203" s="3">
        <v>0.307</v>
      </c>
      <c r="P203" s="3">
        <v>0.36899999999999999</v>
      </c>
      <c r="Q203" s="3">
        <v>0.59799999999999998</v>
      </c>
      <c r="R203" s="3">
        <v>0.41399999999999998</v>
      </c>
      <c r="S203" s="3">
        <v>0.19900000000000001</v>
      </c>
      <c r="T203" s="3">
        <v>0.61499999999999999</v>
      </c>
      <c r="U203" s="3">
        <v>0.51100000000000001</v>
      </c>
      <c r="V203" s="3">
        <v>0.375</v>
      </c>
      <c r="W203" s="3">
        <v>0.191</v>
      </c>
      <c r="X203" s="3">
        <v>0.185</v>
      </c>
      <c r="Y203" s="3">
        <v>8.5999999999999993E-2</v>
      </c>
      <c r="Z203" s="3">
        <v>0.54800000000000004</v>
      </c>
      <c r="AA203" s="3">
        <v>0.215</v>
      </c>
      <c r="AB203" s="3">
        <v>7.6999999999999999E-2</v>
      </c>
      <c r="AC203" s="3">
        <v>0.04</v>
      </c>
    </row>
    <row r="204" spans="1:30" x14ac:dyDescent="0.2">
      <c r="A204" s="39" t="s">
        <v>473</v>
      </c>
      <c r="B204" s="89"/>
      <c r="C204" s="89"/>
      <c r="D204" s="89"/>
      <c r="E204" s="89"/>
      <c r="F204" s="89"/>
      <c r="G204" s="89"/>
      <c r="H204" s="89"/>
      <c r="I204" s="89"/>
      <c r="J204" s="89"/>
      <c r="K204" s="89"/>
      <c r="L204" s="89"/>
      <c r="M204" s="89"/>
      <c r="N204" s="89"/>
      <c r="O204" s="89"/>
      <c r="P204" s="89"/>
      <c r="Q204" s="89"/>
      <c r="R204" s="89"/>
      <c r="S204" s="89"/>
      <c r="T204" s="89"/>
      <c r="U204" s="89"/>
      <c r="V204" s="89"/>
      <c r="W204" s="89"/>
      <c r="X204" s="89"/>
      <c r="Y204" s="89"/>
      <c r="Z204" s="89"/>
      <c r="AA204" s="89"/>
      <c r="AB204" s="89"/>
      <c r="AC204" s="89"/>
      <c r="AD204" s="89"/>
    </row>
    <row r="205" spans="1:30" x14ac:dyDescent="0.2">
      <c r="A205" s="39" t="s">
        <v>474</v>
      </c>
      <c r="B205" s="5">
        <v>1.1299999999999999E-2</v>
      </c>
      <c r="C205" s="5">
        <v>1.14E-2</v>
      </c>
      <c r="D205" s="5">
        <v>1.3299999999999999E-2</v>
      </c>
      <c r="E205" s="5">
        <v>9.11E-2</v>
      </c>
      <c r="F205" s="5">
        <v>4.0899999999999999E-2</v>
      </c>
      <c r="G205" s="5">
        <v>9.1200000000000003E-2</v>
      </c>
      <c r="H205" s="5">
        <v>0.13950000000000001</v>
      </c>
      <c r="I205" s="5">
        <v>8.9599999999999999E-2</v>
      </c>
      <c r="J205" s="5">
        <v>0.1119</v>
      </c>
      <c r="K205" s="5">
        <v>0.15670000000000001</v>
      </c>
      <c r="L205" s="5">
        <v>0.34689999999999999</v>
      </c>
      <c r="M205" s="5">
        <v>0.29480000000000001</v>
      </c>
      <c r="N205" s="5">
        <v>0.41139999999999999</v>
      </c>
      <c r="O205" s="5">
        <v>8.3299999999999999E-2</v>
      </c>
      <c r="P205" s="71">
        <v>0</v>
      </c>
      <c r="Q205" s="71">
        <v>0</v>
      </c>
      <c r="R205" s="71">
        <v>0</v>
      </c>
      <c r="S205" s="71">
        <v>0</v>
      </c>
      <c r="T205" s="71">
        <v>0</v>
      </c>
      <c r="U205" s="71">
        <v>0</v>
      </c>
      <c r="V205" s="71">
        <v>0</v>
      </c>
      <c r="W205" s="71">
        <v>0</v>
      </c>
      <c r="X205" s="71">
        <v>0</v>
      </c>
      <c r="Y205" s="71">
        <v>0</v>
      </c>
      <c r="Z205" s="71">
        <v>0</v>
      </c>
      <c r="AA205" s="71">
        <v>0</v>
      </c>
      <c r="AB205" s="71">
        <v>0</v>
      </c>
      <c r="AC205" s="71">
        <v>0</v>
      </c>
    </row>
    <row r="206" spans="1:30" x14ac:dyDescent="0.2">
      <c r="A206" s="39" t="s">
        <v>368</v>
      </c>
      <c r="B206" s="5">
        <v>2.1000000000000001E-4</v>
      </c>
      <c r="C206" s="5">
        <v>2.7999999999999998E-4</v>
      </c>
      <c r="D206" s="5">
        <v>2.5999999999999998E-4</v>
      </c>
      <c r="E206" s="5">
        <v>8.1999999999999998E-4</v>
      </c>
      <c r="F206" s="5">
        <v>6.4999999999999997E-4</v>
      </c>
      <c r="G206" s="5">
        <v>1.2099999999999999E-3</v>
      </c>
      <c r="H206" s="5">
        <v>2.7100000000000002E-3</v>
      </c>
      <c r="I206" s="5">
        <v>4.2500000000000003E-3</v>
      </c>
      <c r="J206" s="5">
        <v>2.31E-3</v>
      </c>
      <c r="K206" s="5">
        <v>4.4200000000000003E-3</v>
      </c>
      <c r="L206" s="5">
        <v>1.34E-2</v>
      </c>
      <c r="M206" s="5">
        <v>1.7500000000000002E-2</v>
      </c>
      <c r="N206" s="5">
        <v>1.9599999999999999E-2</v>
      </c>
      <c r="O206" s="5">
        <v>6.1700000000000001E-3</v>
      </c>
      <c r="P206" s="71">
        <v>0</v>
      </c>
      <c r="Q206" s="71">
        <v>0</v>
      </c>
      <c r="R206" s="71">
        <v>0</v>
      </c>
      <c r="S206" s="71">
        <v>0</v>
      </c>
      <c r="T206" s="71">
        <v>0</v>
      </c>
      <c r="U206" s="71">
        <v>0</v>
      </c>
      <c r="V206" s="71">
        <v>0</v>
      </c>
      <c r="W206" s="71">
        <v>0</v>
      </c>
      <c r="X206" s="71">
        <v>0</v>
      </c>
      <c r="Y206" s="71">
        <v>0</v>
      </c>
      <c r="Z206" s="71">
        <v>0</v>
      </c>
      <c r="AA206" s="71">
        <v>0</v>
      </c>
      <c r="AB206" s="71">
        <v>0</v>
      </c>
      <c r="AC206" s="71">
        <v>0</v>
      </c>
    </row>
    <row r="207" spans="1:30" x14ac:dyDescent="0.2">
      <c r="A207" s="39" t="s">
        <v>67</v>
      </c>
      <c r="B207" s="5">
        <v>0.1396</v>
      </c>
      <c r="C207" s="5">
        <v>0.1326</v>
      </c>
      <c r="D207" s="71">
        <v>0.12</v>
      </c>
      <c r="E207" s="5">
        <v>-4.4699999999999997E-2</v>
      </c>
      <c r="F207" s="5">
        <v>1.9E-2</v>
      </c>
      <c r="G207" s="5">
        <v>1.7500000000000002E-2</v>
      </c>
      <c r="H207" s="5">
        <v>5.8599999999999999E-2</v>
      </c>
      <c r="I207" s="5">
        <v>-6.2899999999999998E-2</v>
      </c>
      <c r="J207" s="5">
        <v>4.6600000000000003E-2</v>
      </c>
      <c r="K207" s="5">
        <v>0.1255</v>
      </c>
      <c r="L207" s="5">
        <v>0.1736</v>
      </c>
      <c r="M207" s="5">
        <v>0.16420000000000001</v>
      </c>
      <c r="N207" s="5">
        <v>0.13730000000000001</v>
      </c>
      <c r="O207" s="5">
        <v>0.15029999999999999</v>
      </c>
      <c r="P207" s="5">
        <v>0.1241</v>
      </c>
      <c r="Q207" s="5">
        <v>6.6500000000000004E-2</v>
      </c>
      <c r="R207" s="5">
        <v>0.1739</v>
      </c>
      <c r="S207" s="5">
        <v>0.30059999999999998</v>
      </c>
      <c r="T207" s="5">
        <v>0.115</v>
      </c>
      <c r="U207" s="5">
        <v>9.3700000000000006E-2</v>
      </c>
      <c r="V207" s="5">
        <v>0.15590000000000001</v>
      </c>
      <c r="W207" s="5">
        <v>0.17199999999999999</v>
      </c>
      <c r="X207" s="5">
        <v>0.1414</v>
      </c>
      <c r="Y207" s="5">
        <v>0.39689999999999998</v>
      </c>
      <c r="Z207" s="71">
        <v>0.3</v>
      </c>
      <c r="AA207" s="71">
        <v>0.32</v>
      </c>
      <c r="AB207" s="5">
        <v>0.32150000000000001</v>
      </c>
      <c r="AC207" s="5">
        <v>8.8900000000000007E-2</v>
      </c>
    </row>
    <row r="208" spans="1:30" x14ac:dyDescent="0.2">
      <c r="A208" s="39" t="s">
        <v>328</v>
      </c>
      <c r="B208" s="3">
        <v>0</v>
      </c>
      <c r="C208" s="3">
        <v>0</v>
      </c>
      <c r="D208" s="3">
        <v>22.47</v>
      </c>
      <c r="E208" s="3">
        <v>4.51</v>
      </c>
      <c r="F208" s="3">
        <v>0</v>
      </c>
      <c r="G208" s="3">
        <v>5.83</v>
      </c>
      <c r="H208" s="3">
        <v>0</v>
      </c>
      <c r="I208" s="3">
        <v>0</v>
      </c>
      <c r="J208" s="3">
        <v>233.5</v>
      </c>
      <c r="K208" s="3">
        <v>2.02</v>
      </c>
      <c r="L208" s="3">
        <v>0.78300000000000003</v>
      </c>
      <c r="M208" s="3">
        <v>0</v>
      </c>
      <c r="N208" s="3">
        <v>0</v>
      </c>
      <c r="O208" s="3">
        <v>0</v>
      </c>
      <c r="P208" s="3">
        <v>0</v>
      </c>
      <c r="Q208" s="3">
        <v>0</v>
      </c>
      <c r="R208" s="3">
        <v>0</v>
      </c>
      <c r="S208" s="3">
        <v>0</v>
      </c>
      <c r="T208" s="3">
        <v>0</v>
      </c>
      <c r="U208" s="3">
        <v>0</v>
      </c>
      <c r="V208" s="3">
        <v>0</v>
      </c>
      <c r="W208" s="3">
        <v>154.4</v>
      </c>
      <c r="X208" s="3">
        <v>12.37</v>
      </c>
      <c r="Y208" s="3">
        <v>46.69</v>
      </c>
      <c r="Z208" s="3">
        <v>41.27</v>
      </c>
      <c r="AA208" s="3">
        <v>455.6</v>
      </c>
      <c r="AB208" s="3">
        <v>8.89</v>
      </c>
      <c r="AC208" s="3">
        <v>-0.29699999999999999</v>
      </c>
    </row>
    <row r="209" spans="1:29" x14ac:dyDescent="0.2">
      <c r="A209" s="39" t="s">
        <v>329</v>
      </c>
      <c r="B209" s="3">
        <v>15.37</v>
      </c>
      <c r="C209" s="3">
        <v>19.809999999999999</v>
      </c>
      <c r="D209" s="3">
        <v>26.28</v>
      </c>
      <c r="E209" s="3">
        <v>3.08</v>
      </c>
      <c r="F209" s="3">
        <v>9.33</v>
      </c>
      <c r="G209" s="3">
        <v>5.16</v>
      </c>
      <c r="H209" s="3">
        <v>9.74</v>
      </c>
      <c r="I209" s="3">
        <v>6.24</v>
      </c>
      <c r="J209" s="3">
        <v>5.91</v>
      </c>
      <c r="K209" s="3">
        <v>9.5</v>
      </c>
      <c r="L209" s="3">
        <v>13.66</v>
      </c>
      <c r="M209" s="3">
        <v>7.43</v>
      </c>
      <c r="N209" s="3">
        <v>3.27</v>
      </c>
      <c r="O209" s="3">
        <v>4.5</v>
      </c>
      <c r="P209" s="3">
        <v>6.55</v>
      </c>
      <c r="Q209" s="3">
        <v>6.9</v>
      </c>
      <c r="R209" s="3">
        <v>6.29</v>
      </c>
      <c r="S209" s="3">
        <v>0.61199999999999999</v>
      </c>
      <c r="T209" s="3">
        <v>6.77</v>
      </c>
      <c r="U209" s="3">
        <v>4.04</v>
      </c>
      <c r="V209" s="3">
        <v>5.61</v>
      </c>
      <c r="W209" s="3">
        <v>1.97</v>
      </c>
      <c r="X209" s="3">
        <v>0.38900000000000001</v>
      </c>
      <c r="Y209" s="3">
        <v>4.2</v>
      </c>
      <c r="Z209" s="3">
        <v>0.998</v>
      </c>
      <c r="AA209" s="3">
        <v>7.37</v>
      </c>
      <c r="AB209" s="3">
        <v>1.37</v>
      </c>
      <c r="AC209" s="3">
        <v>-0.24099999999999999</v>
      </c>
    </row>
    <row r="210" spans="1:29" x14ac:dyDescent="0.2">
      <c r="A210" s="39" t="s">
        <v>330</v>
      </c>
      <c r="B210" s="3">
        <v>0.58099999999999996</v>
      </c>
      <c r="C210" s="3">
        <v>0.624</v>
      </c>
      <c r="D210" s="3">
        <v>0.54100000000000004</v>
      </c>
      <c r="E210" s="3">
        <v>0.157</v>
      </c>
      <c r="F210" s="3">
        <v>0.373</v>
      </c>
      <c r="G210" s="3">
        <v>0.27200000000000002</v>
      </c>
      <c r="H210" s="3">
        <v>0.26100000000000001</v>
      </c>
      <c r="I210" s="3">
        <v>0.32500000000000001</v>
      </c>
      <c r="J210" s="3">
        <v>0.33</v>
      </c>
      <c r="K210" s="3">
        <v>0.28000000000000003</v>
      </c>
      <c r="L210" s="3">
        <v>0.14899999999999999</v>
      </c>
      <c r="M210" s="3">
        <v>0.16200000000000001</v>
      </c>
      <c r="N210" s="3">
        <v>0.12</v>
      </c>
      <c r="O210" s="3">
        <v>0.151</v>
      </c>
      <c r="P210" s="3">
        <v>0.16200000000000001</v>
      </c>
      <c r="Q210" s="3">
        <v>7.1999999999999995E-2</v>
      </c>
      <c r="R210" s="3">
        <v>-0.03</v>
      </c>
      <c r="S210" s="3">
        <v>-2.1000000000000001E-2</v>
      </c>
      <c r="T210" s="3">
        <v>0.20399999999999999</v>
      </c>
      <c r="U210" s="3">
        <v>0.14799999999999999</v>
      </c>
      <c r="V210" s="3">
        <v>0.14199999999999999</v>
      </c>
      <c r="W210" s="3">
        <v>4.7E-2</v>
      </c>
      <c r="X210" s="3">
        <v>4.9000000000000002E-2</v>
      </c>
      <c r="Y210" s="3">
        <v>7.4999999999999997E-2</v>
      </c>
      <c r="Z210" s="3">
        <v>0.17699999999999999</v>
      </c>
      <c r="AA210" s="3">
        <v>0.17399999999999999</v>
      </c>
      <c r="AB210" s="3">
        <v>0.157</v>
      </c>
      <c r="AC210" s="3">
        <v>2.8000000000000001E-2</v>
      </c>
    </row>
    <row r="211" spans="1:29" x14ac:dyDescent="0.2">
      <c r="A211" s="39" t="s">
        <v>331</v>
      </c>
      <c r="B211" s="3">
        <v>0.6</v>
      </c>
      <c r="C211" s="3">
        <v>0.63800000000000001</v>
      </c>
      <c r="D211" s="3">
        <v>0.56599999999999995</v>
      </c>
      <c r="E211" s="3">
        <v>0.214</v>
      </c>
      <c r="F211" s="3">
        <v>0.41699999999999998</v>
      </c>
      <c r="G211" s="3">
        <v>0.33800000000000002</v>
      </c>
      <c r="H211" s="3">
        <v>0.29599999999999999</v>
      </c>
      <c r="I211" s="3">
        <v>0.34699999999999998</v>
      </c>
      <c r="J211" s="3">
        <v>0.35099999999999998</v>
      </c>
      <c r="K211" s="3">
        <v>0.307</v>
      </c>
      <c r="L211" s="3">
        <v>0.188</v>
      </c>
      <c r="M211" s="3">
        <v>0.20899999999999999</v>
      </c>
      <c r="N211" s="3">
        <v>0.17799999999999999</v>
      </c>
      <c r="O211" s="3">
        <v>0.20399999999999999</v>
      </c>
      <c r="P211" s="3">
        <v>0.21299999999999999</v>
      </c>
      <c r="Q211" s="3">
        <v>0.125</v>
      </c>
      <c r="R211" s="3">
        <v>2.9000000000000001E-2</v>
      </c>
      <c r="S211" s="3">
        <v>3.3000000000000002E-2</v>
      </c>
      <c r="T211" s="3">
        <v>0.23699999999999999</v>
      </c>
      <c r="U211" s="3">
        <v>0.183</v>
      </c>
      <c r="V211" s="3">
        <v>0.183</v>
      </c>
      <c r="W211" s="3">
        <v>9.8000000000000004E-2</v>
      </c>
      <c r="X211" s="3">
        <v>9.5000000000000001E-2</v>
      </c>
      <c r="Y211" s="3">
        <v>0.106</v>
      </c>
      <c r="Z211" s="3">
        <v>0.20799999999999999</v>
      </c>
      <c r="AA211" s="3">
        <v>0.19600000000000001</v>
      </c>
      <c r="AB211" s="3">
        <v>0.182</v>
      </c>
      <c r="AC211" s="3">
        <v>7.0000000000000007E-2</v>
      </c>
    </row>
    <row r="212" spans="1:29" x14ac:dyDescent="0.2">
      <c r="A212" s="39" t="s">
        <v>332</v>
      </c>
      <c r="B212" s="3">
        <v>61.43</v>
      </c>
      <c r="C212" s="3">
        <v>64.510000000000005</v>
      </c>
      <c r="D212" s="3">
        <v>59.91</v>
      </c>
      <c r="E212" s="3">
        <v>51.79</v>
      </c>
      <c r="F212" s="3">
        <v>63.06</v>
      </c>
      <c r="G212" s="3">
        <v>53.17</v>
      </c>
      <c r="H212" s="3">
        <v>55.4</v>
      </c>
      <c r="I212" s="3">
        <v>44.36</v>
      </c>
      <c r="J212" s="3">
        <v>47.53</v>
      </c>
      <c r="K212" s="3">
        <v>43.63</v>
      </c>
      <c r="L212" s="3">
        <v>36.79</v>
      </c>
      <c r="M212" s="3">
        <v>36.950000000000003</v>
      </c>
      <c r="N212" s="3">
        <v>37.68</v>
      </c>
      <c r="O212" s="3">
        <v>38.74</v>
      </c>
      <c r="P212" s="3">
        <v>30.69</v>
      </c>
      <c r="Q212" s="3">
        <v>35.93</v>
      </c>
      <c r="R212" s="3">
        <v>41.14</v>
      </c>
      <c r="S212" s="3">
        <v>33.94</v>
      </c>
      <c r="T212" s="3">
        <v>59.37</v>
      </c>
      <c r="U212" s="3">
        <v>61.69</v>
      </c>
      <c r="V212" s="3">
        <v>48.89</v>
      </c>
      <c r="W212" s="3">
        <v>53.8</v>
      </c>
      <c r="X212" s="3">
        <v>39.369999999999997</v>
      </c>
      <c r="Y212" s="3">
        <v>29.53</v>
      </c>
      <c r="Z212" s="3">
        <v>39.270000000000003</v>
      </c>
      <c r="AA212" s="3">
        <v>52.12</v>
      </c>
      <c r="AB212" s="3">
        <v>65.52</v>
      </c>
      <c r="AC212" s="3">
        <v>47.53</v>
      </c>
    </row>
    <row r="213" spans="1:29" x14ac:dyDescent="0.2">
      <c r="A213" s="39" t="s">
        <v>333</v>
      </c>
      <c r="B213" s="3">
        <v>109.6</v>
      </c>
      <c r="C213" s="3">
        <v>112.7</v>
      </c>
      <c r="D213" s="3">
        <v>116</v>
      </c>
      <c r="E213" s="3">
        <v>162.1</v>
      </c>
      <c r="F213" s="3">
        <v>100.7</v>
      </c>
      <c r="G213" s="3">
        <v>106.1</v>
      </c>
      <c r="H213" s="3">
        <v>86.1</v>
      </c>
      <c r="I213" s="3">
        <v>126.5</v>
      </c>
      <c r="J213" s="3">
        <v>74.650000000000006</v>
      </c>
      <c r="K213" s="3">
        <v>101.8</v>
      </c>
      <c r="L213" s="3">
        <v>69.38</v>
      </c>
      <c r="M213" s="3">
        <v>84.64</v>
      </c>
      <c r="N213" s="3">
        <v>76.010000000000005</v>
      </c>
      <c r="O213" s="3">
        <v>73.3</v>
      </c>
      <c r="P213" s="3">
        <v>63.98</v>
      </c>
      <c r="Q213" s="3">
        <v>59.09</v>
      </c>
      <c r="R213" s="3">
        <v>56.15</v>
      </c>
      <c r="S213" s="3">
        <v>87.23</v>
      </c>
      <c r="T213" s="3">
        <v>58.72</v>
      </c>
      <c r="U213" s="3">
        <v>73.209999999999994</v>
      </c>
      <c r="V213" s="3">
        <v>63.47</v>
      </c>
      <c r="W213" s="3">
        <v>84.53</v>
      </c>
      <c r="X213" s="3">
        <v>66.069999999999993</v>
      </c>
      <c r="Y213" s="3">
        <v>39.700000000000003</v>
      </c>
      <c r="Z213" s="3">
        <v>91.82</v>
      </c>
      <c r="AA213" s="3">
        <v>71.34</v>
      </c>
      <c r="AB213" s="3">
        <v>59.04</v>
      </c>
      <c r="AC213" s="3">
        <v>101.2</v>
      </c>
    </row>
    <row r="214" spans="1:29" x14ac:dyDescent="0.2">
      <c r="A214" s="39" t="s">
        <v>334</v>
      </c>
      <c r="B214" s="3">
        <v>66.41</v>
      </c>
      <c r="C214" s="3">
        <v>70.56</v>
      </c>
      <c r="D214" s="3">
        <v>59.27</v>
      </c>
      <c r="E214" s="3">
        <v>37.479999999999997</v>
      </c>
      <c r="F214" s="3">
        <v>68.95</v>
      </c>
      <c r="G214" s="3">
        <v>66.790000000000006</v>
      </c>
      <c r="H214" s="3">
        <v>60.42</v>
      </c>
      <c r="I214" s="3">
        <v>41.04</v>
      </c>
      <c r="J214" s="3">
        <v>55.89</v>
      </c>
      <c r="K214" s="3">
        <v>62.18</v>
      </c>
      <c r="L214" s="3">
        <v>49.13</v>
      </c>
      <c r="M214" s="3">
        <v>51.34</v>
      </c>
      <c r="N214" s="3">
        <v>63.59</v>
      </c>
      <c r="O214" s="3">
        <v>63.34</v>
      </c>
      <c r="P214" s="3">
        <v>63</v>
      </c>
      <c r="Q214" s="3">
        <v>48.94</v>
      </c>
      <c r="R214" s="3">
        <v>58.5</v>
      </c>
      <c r="S214" s="3">
        <v>35.5</v>
      </c>
      <c r="T214" s="3">
        <v>80.599999999999994</v>
      </c>
      <c r="U214" s="3">
        <v>56.16</v>
      </c>
      <c r="V214" s="3">
        <v>44.68</v>
      </c>
      <c r="W214" s="3">
        <v>63.82</v>
      </c>
      <c r="X214" s="3">
        <v>52.28</v>
      </c>
      <c r="Y214" s="3">
        <v>38.630000000000003</v>
      </c>
      <c r="Z214" s="3">
        <v>91.88</v>
      </c>
      <c r="AA214" s="3">
        <v>57.07</v>
      </c>
      <c r="AB214" s="3">
        <v>101.8</v>
      </c>
      <c r="AC214" s="3">
        <v>126.3</v>
      </c>
    </row>
    <row r="215" spans="1:29" x14ac:dyDescent="0.2">
      <c r="A215" s="39" t="s">
        <v>335</v>
      </c>
      <c r="B215" s="3">
        <v>104.6</v>
      </c>
      <c r="C215" s="3">
        <v>106.7</v>
      </c>
      <c r="D215" s="3">
        <v>116.6</v>
      </c>
      <c r="E215" s="3">
        <v>176.4</v>
      </c>
      <c r="F215" s="3">
        <v>94.85</v>
      </c>
      <c r="G215" s="3">
        <v>92.52</v>
      </c>
      <c r="H215" s="3">
        <v>81.08</v>
      </c>
      <c r="I215" s="3">
        <v>129.80000000000001</v>
      </c>
      <c r="J215" s="3">
        <v>66.290000000000006</v>
      </c>
      <c r="K215" s="3">
        <v>83.25</v>
      </c>
      <c r="L215" s="3">
        <v>57.04</v>
      </c>
      <c r="M215" s="3">
        <v>70.25</v>
      </c>
      <c r="N215" s="3">
        <v>50.1</v>
      </c>
      <c r="O215" s="3">
        <v>48.7</v>
      </c>
      <c r="P215" s="3">
        <v>31.67</v>
      </c>
      <c r="Q215" s="3">
        <v>46.08</v>
      </c>
      <c r="R215" s="3">
        <v>38.79</v>
      </c>
      <c r="S215" s="3">
        <v>85.67</v>
      </c>
      <c r="T215" s="3">
        <v>37.49</v>
      </c>
      <c r="U215" s="3">
        <v>78.739999999999995</v>
      </c>
      <c r="V215" s="3">
        <v>67.680000000000007</v>
      </c>
      <c r="W215" s="3">
        <v>74.510000000000005</v>
      </c>
      <c r="X215" s="3">
        <v>53.16</v>
      </c>
      <c r="Y215" s="3">
        <v>30.61</v>
      </c>
      <c r="Z215" s="3">
        <v>39.21</v>
      </c>
      <c r="AA215" s="3">
        <v>66.39</v>
      </c>
      <c r="AB215" s="3">
        <v>22.72</v>
      </c>
      <c r="AC215" s="3">
        <v>22.42</v>
      </c>
    </row>
    <row r="216" spans="1:29" x14ac:dyDescent="0.2">
      <c r="A216" s="39" t="s">
        <v>336</v>
      </c>
      <c r="B216" s="3">
        <v>0.89</v>
      </c>
      <c r="C216" s="3">
        <v>0.879</v>
      </c>
      <c r="D216" s="3">
        <v>0.94399999999999995</v>
      </c>
      <c r="E216" s="3">
        <v>1.29</v>
      </c>
      <c r="F216" s="3">
        <v>0.93400000000000005</v>
      </c>
      <c r="G216" s="3">
        <v>1.34</v>
      </c>
      <c r="H216" s="3">
        <v>1.7</v>
      </c>
      <c r="I216" s="3">
        <v>0.90400000000000003</v>
      </c>
      <c r="J216" s="3">
        <v>1.1499999999999999</v>
      </c>
      <c r="K216" s="3">
        <v>1</v>
      </c>
      <c r="L216" s="3">
        <v>1.91</v>
      </c>
      <c r="M216" s="3">
        <v>1.44</v>
      </c>
      <c r="N216" s="3">
        <v>1.9</v>
      </c>
      <c r="O216" s="3">
        <v>1.47</v>
      </c>
      <c r="P216" s="3">
        <v>1.56</v>
      </c>
      <c r="Q216" s="3">
        <v>2.67</v>
      </c>
      <c r="R216" s="3">
        <v>-7.18</v>
      </c>
      <c r="S216" s="3">
        <v>-8.3000000000000007</v>
      </c>
      <c r="T216" s="3">
        <v>1.59</v>
      </c>
      <c r="U216" s="3">
        <v>1.31</v>
      </c>
      <c r="V216" s="3">
        <v>1.48</v>
      </c>
      <c r="W216" s="3">
        <v>1.49</v>
      </c>
      <c r="X216" s="3">
        <v>0.66800000000000004</v>
      </c>
      <c r="Y216" s="3">
        <v>2.92</v>
      </c>
      <c r="Z216" s="3">
        <v>0.90900000000000003</v>
      </c>
      <c r="AA216" s="3">
        <v>2.72</v>
      </c>
      <c r="AB216" s="3">
        <v>0.38700000000000001</v>
      </c>
      <c r="AC216" s="3">
        <v>-0.46300000000000002</v>
      </c>
    </row>
    <row r="217" spans="1:29" x14ac:dyDescent="0.2">
      <c r="A217" s="39" t="s">
        <v>337</v>
      </c>
      <c r="B217" s="3">
        <v>0.83199999999999996</v>
      </c>
      <c r="C217" s="3">
        <v>0.83499999999999996</v>
      </c>
      <c r="D217" s="3">
        <v>0.90800000000000003</v>
      </c>
      <c r="E217" s="3">
        <v>0.872</v>
      </c>
      <c r="F217" s="3">
        <v>0.83399999999999996</v>
      </c>
      <c r="G217" s="3">
        <v>1.08</v>
      </c>
      <c r="H217" s="3">
        <v>1.53</v>
      </c>
      <c r="I217" s="3">
        <v>0.75900000000000001</v>
      </c>
      <c r="J217" s="3">
        <v>0.95499999999999996</v>
      </c>
      <c r="K217" s="3">
        <v>0.89800000000000002</v>
      </c>
      <c r="L217" s="3">
        <v>1.77</v>
      </c>
      <c r="M217" s="3">
        <v>1.24</v>
      </c>
      <c r="N217" s="3">
        <v>1.32</v>
      </c>
      <c r="O217" s="3">
        <v>1.1399999999999999</v>
      </c>
      <c r="P217" s="3">
        <v>1.33</v>
      </c>
      <c r="Q217" s="3">
        <v>2.2799999999999998</v>
      </c>
      <c r="R217" s="3">
        <v>-6.03</v>
      </c>
      <c r="S217" s="3">
        <v>5.27</v>
      </c>
      <c r="T217" s="3">
        <v>1.36</v>
      </c>
      <c r="U217" s="3">
        <v>0.98399999999999999</v>
      </c>
      <c r="V217" s="3">
        <v>1.22</v>
      </c>
      <c r="W217" s="3">
        <v>0.73299999999999998</v>
      </c>
      <c r="X217" s="3">
        <v>-1.05</v>
      </c>
      <c r="Y217" s="3">
        <v>2.2200000000000002</v>
      </c>
      <c r="Z217" s="3">
        <v>-2E-3</v>
      </c>
      <c r="AA217" s="3">
        <v>2.35</v>
      </c>
      <c r="AB217" s="3">
        <v>0.105</v>
      </c>
      <c r="AC217" s="3">
        <v>-2.39</v>
      </c>
    </row>
  </sheetData>
  <mergeCells count="11">
    <mergeCell ref="B204:AD204"/>
    <mergeCell ref="B165:AD165"/>
    <mergeCell ref="B175:AD175"/>
    <mergeCell ref="B182:AD182"/>
    <mergeCell ref="B187:AD187"/>
    <mergeCell ref="B193:AD193"/>
    <mergeCell ref="A5:A6"/>
    <mergeCell ref="A55:A56"/>
    <mergeCell ref="A105:A106"/>
    <mergeCell ref="A155:A156"/>
    <mergeCell ref="B157:AD157"/>
  </mergeCells>
  <hyperlinks>
    <hyperlink ref="B7" r:id="rId1" display="https://www.sec.gov/Archives/edgar/data/1045810/000104581025000209/0001045810-25-000209-index.htm" xr:uid="{26317F2E-FA3C-9B49-B759-D8F367AAB1E9}"/>
    <hyperlink ref="C7" r:id="rId2" display="https://www.sec.gov/Archives/edgar/data/1045810/000104581025000023/0001045810-25-000023-index.htm" xr:uid="{B31A9264-B31F-EE43-8FAA-30ABCB3BACF7}"/>
    <hyperlink ref="D7" r:id="rId3" display="https://www.sec.gov/Archives/edgar/data/1045810/000104581024000029/0001045810-24-000029-index.htm" xr:uid="{93D99DE6-64EF-6E41-87D7-84043C401083}"/>
    <hyperlink ref="E7" r:id="rId4" display="https://www.sec.gov/Archives/edgar/data/1045810/000104581023000017/0001045810-23-000017-index.htm" xr:uid="{06560E43-F2A8-9542-83FB-ED9DC6116004}"/>
    <hyperlink ref="F7" r:id="rId5" display="https://www.sec.gov/Archives/edgar/data/1045810/000104581022000036/0001045810-22-000036-index.htm" xr:uid="{DDC7A58B-C070-4243-A1F8-6C8F4E2A9BC1}"/>
    <hyperlink ref="G7" r:id="rId6" display="https://www.sec.gov/Archives/edgar/data/1045810/000104581021000010/0001045810-21-000010-index.htm" xr:uid="{9DC33277-2B8A-3C42-92EB-DBCBD80CC47E}"/>
    <hyperlink ref="H7" r:id="rId7" display="https://www.sec.gov/Archives/edgar/data/1045810/000104581020000010/0001045810-20-000010-index.htm" xr:uid="{5CE289D9-EE02-054A-8CB4-ED01A4279E84}"/>
    <hyperlink ref="I7" r:id="rId8" display="https://www.sec.gov/Archives/edgar/data/1045810/000104581019000023/0001045810-19-000023-index.htm" xr:uid="{6C064DB1-CE5B-0146-93BE-31D66884F7DB}"/>
    <hyperlink ref="J7" r:id="rId9" display="https://www.sec.gov/Archives/edgar/data/1045810/000104581018000010/0001045810-18-000010-index.htm" xr:uid="{2DF0B01D-A350-714B-9709-CB8E3CCF0885}"/>
    <hyperlink ref="K7" r:id="rId10" display="https://www.sec.gov/Archives/edgar/data/1045810/000104581017000027/0001045810-17-000027-index.htm" xr:uid="{C47537AA-68BB-9E49-A324-E9826B5E224D}"/>
    <hyperlink ref="L7" r:id="rId11" display="https://www.sec.gov/Archives/edgar/data/1045810/000104581016000205/0001045810-16-000205-index.htm" xr:uid="{12F459EA-AD20-6E4C-A47B-219ADF4A36E4}"/>
    <hyperlink ref="M7" r:id="rId12" display="https://www.sec.gov/Archives/edgar/data/1045810/000104581015000036/0001045810-15-000036-index.htm" xr:uid="{1049BD1F-CE1D-FE46-BA55-0056839C9D82}"/>
    <hyperlink ref="N7" r:id="rId13" display="https://www.sec.gov/Archives/edgar/data/1045810/000104581014000030/0001045810-14-000030-index.htm" xr:uid="{AF347327-8446-3343-98FA-AE355668F754}"/>
    <hyperlink ref="O7" r:id="rId14" display="https://www.sec.gov/Archives/edgar/data/1045810/000104581013000008/0001045810-13-000008-index.htm" xr:uid="{E4B03CA9-9F0B-954D-954E-B9FF6C3CFDCD}"/>
    <hyperlink ref="P7" r:id="rId15" display="https://www.sec.gov/Archives/edgar/data/1045810/000104581012000013/0001045810-12-000013-index.htm" xr:uid="{01ACD7C8-89EF-4843-BF5A-F40E5A6A2920}"/>
    <hyperlink ref="Q7" r:id="rId16" display="https://www.sec.gov/Archives/edgar/data/1045810/000104581011000015/0001045810-11-000015-index.htm" xr:uid="{BE017ED3-5645-7347-B745-322114317715}"/>
    <hyperlink ref="R7" r:id="rId17" display="https://www.sec.gov/Archives/edgar/data/1045810/000104581010000006/0001045810-10-000006-index.htm" xr:uid="{B08A81A9-91E2-0B4D-9A23-57DE1833AD90}"/>
    <hyperlink ref="S7" r:id="rId18" display="https://www.sec.gov/Archives/edgar/data/1045810/000104581009000013/0001045810-09-000013-index.htm" xr:uid="{1C9C61E1-553F-4149-A6B3-299A80E5E7C9}"/>
    <hyperlink ref="T7" xr:uid="{D67968B5-F7C8-AB43-B424-34ADDFFED8E8}"/>
    <hyperlink ref="U7" r:id="rId19" display="https://www.sec.gov/Archives/edgar/data/1045810/000104581007000008/0001045810-07-000008-index.htm" xr:uid="{C3DCA95E-D72A-E440-992B-7E821CE38030}"/>
    <hyperlink ref="V7" r:id="rId20" display="https://www.sec.gov/Archives/edgar/data/1045810/000119312506243224/0001193125-06-243224-index.htm" xr:uid="{14187337-17C8-544C-887A-D29489EB8359}"/>
    <hyperlink ref="W7" r:id="rId21" display="https://www.sec.gov/Archives/edgar/data/1045810/000104581005000008/0001045810-05-000008-index.htm" xr:uid="{149486EC-E1E0-7C4B-A451-585F7CF374C8}"/>
    <hyperlink ref="X7" r:id="rId22" display="https://www.sec.gov/Archives/edgar/data/1045810/000104581004000007/0001045810-04-000007-index.htm" xr:uid="{26D03EE5-1950-B14A-A102-55E7A120B5E9}"/>
    <hyperlink ref="Y7" r:id="rId23" display="https://www.sec.gov/Archives/edgar/data/1045810/000104596903001196/0001045969-03-001196-index.htm" xr:uid="{D2BADA85-B608-A642-8E9F-1714BA476C1B}"/>
    <hyperlink ref="Z7" r:id="rId24" display="https://www.sec.gov/Archives/edgar/data/1045810/000101287002002262/0001012870-02-002262-index.htm" xr:uid="{82C8EEFB-0564-924C-B3CB-E92420F4024D}"/>
    <hyperlink ref="AA7" r:id="rId25" display="https://www.sec.gov/Archives/edgar/data/1045810/000101287001501023/0001012870-01-501023-index.htm" xr:uid="{CEACB579-9971-2C40-80CB-734303CA0783}"/>
    <hyperlink ref="AB7" r:id="rId26" display="https://www.sec.gov/Archives/edgar/data/1045810/000101287000001346/0001012870-00-001346-index.html" xr:uid="{66C6BC6E-4A6E-B241-87E4-58776E8CA186}"/>
    <hyperlink ref="AC7" r:id="rId27" display="https://www.sec.gov/Archives/edgar/data/1045810/000092962499000772/0000929624-99-000772-index.html" xr:uid="{4A2DD715-FED3-BD49-A143-A7464553E5AB}"/>
    <hyperlink ref="B57" r:id="rId28" display="https://www.sec.gov/Archives/edgar/data/1045810/000104581025000023/0001045810-25-000023-index.htm" xr:uid="{1022B13A-9CFE-6940-92FE-BE4107306314}"/>
    <hyperlink ref="C57" r:id="rId29" display="https://www.sec.gov/Archives/edgar/data/1045810/000104581024000029/0001045810-24-000029-index.htm" xr:uid="{29638326-B688-BF4E-8821-180F62B56680}"/>
    <hyperlink ref="D57" r:id="rId30" display="https://www.sec.gov/Archives/edgar/data/1045810/000104581023000017/0001045810-23-000017-index.htm" xr:uid="{36B22DB3-B0C3-6347-B0AB-4195ADBEEDC4}"/>
    <hyperlink ref="E57" r:id="rId31" display="https://www.sec.gov/Archives/edgar/data/1045810/000104581022000036/0001045810-22-000036-index.htm" xr:uid="{5C947082-FD0D-F145-BCC4-65BE142BDAC4}"/>
    <hyperlink ref="F57" r:id="rId32" display="https://www.sec.gov/Archives/edgar/data/1045810/000104581021000010/0001045810-21-000010-index.htm" xr:uid="{85C75028-6569-9C41-892F-976EAE9B44FA}"/>
    <hyperlink ref="G57" r:id="rId33" display="https://www.sec.gov/Archives/edgar/data/1045810/000104581020000010/0001045810-20-000010-index.htm" xr:uid="{72337980-9DE3-154D-8562-1497652CEAB3}"/>
    <hyperlink ref="H57" r:id="rId34" display="https://www.sec.gov/Archives/edgar/data/1045810/000104581019000023/0001045810-19-000023-index.htm" xr:uid="{3C092802-624B-244F-97CF-1905662EDF17}"/>
    <hyperlink ref="I57" r:id="rId35" display="https://www.sec.gov/Archives/edgar/data/1045810/000104581018000010/0001045810-18-000010-index.htm" xr:uid="{A11D4BD8-7443-0C47-A4A5-18B192D7FDAA}"/>
    <hyperlink ref="J57" r:id="rId36" display="https://www.sec.gov/Archives/edgar/data/1045810/000104581017000027/0001045810-17-000027-index.htm" xr:uid="{23628A11-706F-384B-B434-ACDE009AA40D}"/>
    <hyperlink ref="K57" r:id="rId37" display="https://www.sec.gov/Archives/edgar/data/1045810/000104581016000205/0001045810-16-000205-index.htm" xr:uid="{0C7CF75D-5712-7645-A2EB-91A62B4FEDA8}"/>
    <hyperlink ref="L57" r:id="rId38" display="https://www.sec.gov/Archives/edgar/data/1045810/000104581015000036/0001045810-15-000036-index.htm" xr:uid="{14743F02-0EBA-804B-84E2-820CEE602508}"/>
    <hyperlink ref="M57" r:id="rId39" display="https://www.sec.gov/Archives/edgar/data/1045810/000104581014000030/0001045810-14-000030-index.htm" xr:uid="{CB6B6FAE-45DB-3A4C-99E4-6B8AAC4253FD}"/>
    <hyperlink ref="N57" r:id="rId40" display="https://www.sec.gov/Archives/edgar/data/1045810/000104581013000008/0001045810-13-000008-index.htm" xr:uid="{AEA41C05-8041-2244-AEC7-5B8DD67D13FC}"/>
    <hyperlink ref="O57" r:id="rId41" display="https://www.sec.gov/Archives/edgar/data/1045810/000104581012000013/0001045810-12-000013-index.htm" xr:uid="{5388E1CF-95A4-5B4A-8B67-B7EA4B4E81F9}"/>
    <hyperlink ref="P57" r:id="rId42" display="https://www.sec.gov/Archives/edgar/data/1045810/000104581011000015/0001045810-11-000015-index.htm" xr:uid="{901FE2DE-83B0-5D43-AB47-C764775F2E06}"/>
    <hyperlink ref="Q57" r:id="rId43" display="https://www.sec.gov/Archives/edgar/data/1045810/000104581010000006/0001045810-10-000006-index.htm" xr:uid="{F1BEDBF4-1859-0A42-B376-CA6DB5CBBFD3}"/>
    <hyperlink ref="R57" r:id="rId44" display="https://www.sec.gov/Archives/edgar/data/1045810/000104581009000013/0001045810-09-000013-index.htm" xr:uid="{EF700ECA-45C9-184B-BA48-3CDBCCD426E4}"/>
    <hyperlink ref="S57" xr:uid="{97FAC1F1-4B37-BD4E-AD5F-8502564E5F96}"/>
    <hyperlink ref="T57" r:id="rId45" display="https://www.sec.gov/Archives/edgar/data/1045810/000104581007000008/0001045810-07-000008-index.htm" xr:uid="{FEB6181F-2DDD-6841-B44A-C98B49D51135}"/>
    <hyperlink ref="U57" r:id="rId46" display="https://www.sec.gov/Archives/edgar/data/1045810/000119312506243224/0001193125-06-243224-index.htm" xr:uid="{15A09EDF-54DC-E041-AAF1-C047EF71807C}"/>
    <hyperlink ref="V57" r:id="rId47" display="https://www.sec.gov/Archives/edgar/data/1045810/000104581005000008/0001045810-05-000008-index.htm" xr:uid="{F01BC981-D953-2E40-A2B2-022A77DBA109}"/>
    <hyperlink ref="W57" r:id="rId48" display="https://www.sec.gov/Archives/edgar/data/1045810/000104581004000007/0001045810-04-000007-index.htm" xr:uid="{767B239A-91E0-2146-8144-47875AE04A3A}"/>
    <hyperlink ref="X57" r:id="rId49" display="https://www.sec.gov/Archives/edgar/data/1045810/000104596903001196/0001045969-03-001196-index.htm" xr:uid="{A64CCD00-B0D5-8649-8283-A69B728B61A3}"/>
    <hyperlink ref="Y57" r:id="rId50" display="https://www.sec.gov/Archives/edgar/data/1045810/000101287002002262/0001012870-02-002262-index.htm" xr:uid="{5BE27D1A-6733-A147-B1E2-8230C726FACD}"/>
    <hyperlink ref="Z57" r:id="rId51" display="https://www.sec.gov/Archives/edgar/data/1045810/000101287001501023/0001012870-01-501023-index.htm" xr:uid="{9C472C02-B98F-2148-BC5F-7EC942737A1B}"/>
    <hyperlink ref="AA57" r:id="rId52" display="https://www.sec.gov/Archives/edgar/data/1045810/000101287000001346/0001012870-00-001346-index.html" xr:uid="{C754D8FC-7062-B840-980E-865AFECC4C6E}"/>
    <hyperlink ref="AB57" r:id="rId53" display="https://www.sec.gov/Archives/edgar/data/1045810/000092962499000772/0000929624-99-000772-index.html" xr:uid="{48E438C1-1478-304C-9ADD-46138607880A}"/>
    <hyperlink ref="B107" r:id="rId54" display="https://www.sec.gov/Archives/edgar/data/1045810/000104581025000209/0001045810-25-000209-index.htm" xr:uid="{8CEC3A72-7E9E-3D47-B40B-895E5D2EAF26}"/>
    <hyperlink ref="C107" r:id="rId55" display="https://www.sec.gov/Archives/edgar/data/1045810/000104581025000023/0001045810-25-000023-index.htm" xr:uid="{CB043C6F-AB7E-E841-87E6-32DDBA7DAE7E}"/>
    <hyperlink ref="D107" r:id="rId56" display="https://www.sec.gov/Archives/edgar/data/1045810/000104581024000029/0001045810-24-000029-index.htm" xr:uid="{B4F5A1D8-D066-244B-B070-BC61BB0961C1}"/>
    <hyperlink ref="E107" r:id="rId57" display="https://www.sec.gov/Archives/edgar/data/1045810/000104581023000017/0001045810-23-000017-index.htm" xr:uid="{12587098-FDCF-1341-86DB-637EA58EB830}"/>
    <hyperlink ref="F107" r:id="rId58" display="https://www.sec.gov/Archives/edgar/data/1045810/000104581022000036/0001045810-22-000036-index.htm" xr:uid="{F169AD72-F1E4-2941-84E8-78F091445D15}"/>
    <hyperlink ref="G107" r:id="rId59" display="https://www.sec.gov/Archives/edgar/data/1045810/000104581021000010/0001045810-21-000010-index.htm" xr:uid="{789EFA3A-F25C-B948-B4C4-AAC8E39EE865}"/>
    <hyperlink ref="H107" r:id="rId60" display="https://www.sec.gov/Archives/edgar/data/1045810/000104581020000010/0001045810-20-000010-index.htm" xr:uid="{3989E8F8-8471-9043-B882-8F2CFC5CA44D}"/>
    <hyperlink ref="I107" r:id="rId61" display="https://www.sec.gov/Archives/edgar/data/1045810/000104581019000023/0001045810-19-000023-index.htm" xr:uid="{D8ADF247-2540-7146-8224-A9B3E723D981}"/>
    <hyperlink ref="J107" r:id="rId62" display="https://www.sec.gov/Archives/edgar/data/1045810/000104581018000010/0001045810-18-000010-index.htm" xr:uid="{3FFC1194-9958-4340-8924-A95CB4604D41}"/>
    <hyperlink ref="K107" r:id="rId63" display="https://www.sec.gov/Archives/edgar/data/1045810/000104581017000027/0001045810-17-000027-index.htm" xr:uid="{40159D67-540F-8645-A115-BBAF530550EB}"/>
    <hyperlink ref="L107" r:id="rId64" display="https://www.sec.gov/Archives/edgar/data/1045810/000104581016000205/0001045810-16-000205-index.htm" xr:uid="{4A7B57F3-1646-F948-8424-87483EA02BE2}"/>
    <hyperlink ref="M107" r:id="rId65" display="https://www.sec.gov/Archives/edgar/data/1045810/000104581015000036/0001045810-15-000036-index.htm" xr:uid="{44060C39-D5BB-EC4E-B956-5543C416A1C8}"/>
    <hyperlink ref="N107" r:id="rId66" display="https://www.sec.gov/Archives/edgar/data/1045810/000104581014000030/0001045810-14-000030-index.htm" xr:uid="{5C283BC1-B612-EE45-A76C-EA3F5871E0DF}"/>
    <hyperlink ref="O107" r:id="rId67" display="https://www.sec.gov/Archives/edgar/data/1045810/000104581013000008/0001045810-13-000008-index.htm" xr:uid="{CFBB6827-8185-394B-8BD8-11A4DA63163F}"/>
    <hyperlink ref="P107" r:id="rId68" display="https://www.sec.gov/Archives/edgar/data/1045810/000104581012000013/0001045810-12-000013-index.htm" xr:uid="{C9D15647-5872-964F-8C14-6D05E2C7CC2A}"/>
    <hyperlink ref="Q107" r:id="rId69" display="https://www.sec.gov/Archives/edgar/data/1045810/000104581011000015/0001045810-11-000015-index.htm" xr:uid="{A3265FB5-B3FB-5B46-A778-6B91AFE9A4C8}"/>
    <hyperlink ref="R107" r:id="rId70" display="https://www.sec.gov/Archives/edgar/data/1045810/000104581010000006/0001045810-10-000006-index.htm" xr:uid="{6DD84DEB-6445-0F40-943B-7C12D8A384B0}"/>
    <hyperlink ref="S107" r:id="rId71" display="https://www.sec.gov/Archives/edgar/data/1045810/000104581009000013/0001045810-09-000013-index.htm" xr:uid="{5E7F7B4B-F9E2-0543-8D9C-407DC5E13AC0}"/>
    <hyperlink ref="T107" xr:uid="{2CC35056-2B66-9C44-841B-A0F8570F2933}"/>
    <hyperlink ref="U107" r:id="rId72" display="https://www.sec.gov/Archives/edgar/data/1045810/000104581007000008/0001045810-07-000008-index.htm" xr:uid="{77BF44DD-51ED-A546-85C4-06237D0AD1C6}"/>
    <hyperlink ref="V107" r:id="rId73" display="https://www.sec.gov/Archives/edgar/data/1045810/000119312506243224/0001193125-06-243224-index.htm" xr:uid="{95E6346A-D409-AF4F-8DF6-D5FBA44F68D2}"/>
    <hyperlink ref="W107" r:id="rId74" display="https://www.sec.gov/Archives/edgar/data/1045810/000104581005000008/0001045810-05-000008-index.htm" xr:uid="{A7E8BC66-98EB-A741-B058-F63B25A4F012}"/>
    <hyperlink ref="X107" r:id="rId75" display="https://www.sec.gov/Archives/edgar/data/1045810/000104581004000007/0001045810-04-000007-index.htm" xr:uid="{B844ACFD-2D05-3F49-A6A8-45ED9E4647CC}"/>
    <hyperlink ref="Y107" r:id="rId76" display="https://www.sec.gov/Archives/edgar/data/1045810/000104596903001196/0001045969-03-001196-index.htm" xr:uid="{24771659-0F9F-3047-8D40-B94CF7D171EA}"/>
    <hyperlink ref="Z107" r:id="rId77" display="https://www.sec.gov/Archives/edgar/data/1045810/000101287002002262/0001012870-02-002262-index.htm" xr:uid="{B06C1F2A-2BED-F447-ADE4-404A708059B7}"/>
    <hyperlink ref="AA107" r:id="rId78" display="https://www.sec.gov/Archives/edgar/data/1045810/000101287001501023/0001012870-01-501023-index.htm" xr:uid="{F51B3AC6-C88D-704A-BCC9-869F0E5797F1}"/>
    <hyperlink ref="AB107" r:id="rId79" display="https://www.sec.gov/Archives/edgar/data/1045810/000101287000001346/0001012870-00-001346-index.html" xr:uid="{FE2132D8-7B0A-9F4F-AAA1-A725D1F8367B}"/>
    <hyperlink ref="AC107" r:id="rId80" display="https://www.sec.gov/Archives/edgar/data/1045810/000092962499000772/0000929624-99-000772-index.html" xr:uid="{97708E4F-906C-CB47-8DF8-C3BD0EEC60B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4E0B0-61D0-8945-A971-7AF81C23096E}">
  <sheetPr codeName="Sheet6">
    <tabColor theme="2" tint="-0.249977111117893"/>
  </sheetPr>
  <dimension ref="A5:W201"/>
  <sheetViews>
    <sheetView workbookViewId="0">
      <selection activeCell="E8" sqref="E8"/>
    </sheetView>
  </sheetViews>
  <sheetFormatPr baseColWidth="10" defaultRowHeight="16" x14ac:dyDescent="0.2"/>
  <cols>
    <col min="1" max="1" width="25.1640625" bestFit="1" customWidth="1"/>
    <col min="2" max="2" width="14.5" bestFit="1" customWidth="1"/>
    <col min="3" max="3" width="14.83203125" bestFit="1" customWidth="1"/>
    <col min="4" max="4" width="15.1640625" bestFit="1" customWidth="1"/>
    <col min="5" max="6" width="15.5" bestFit="1" customWidth="1"/>
    <col min="7" max="7" width="14.83203125" bestFit="1" customWidth="1"/>
    <col min="8" max="8" width="15.1640625" bestFit="1" customWidth="1"/>
    <col min="9" max="10" width="15.5" bestFit="1" customWidth="1"/>
    <col min="11" max="11" width="14.83203125" bestFit="1" customWidth="1"/>
    <col min="12" max="12" width="15.1640625" bestFit="1" customWidth="1"/>
    <col min="13" max="14" width="15.5" bestFit="1" customWidth="1"/>
    <col min="15" max="15" width="14.83203125" bestFit="1" customWidth="1"/>
    <col min="16" max="16" width="15.1640625" bestFit="1" customWidth="1"/>
    <col min="17" max="18" width="15.5" bestFit="1" customWidth="1"/>
    <col min="19" max="19" width="14.83203125" bestFit="1" customWidth="1"/>
    <col min="20" max="20" width="15.1640625" bestFit="1" customWidth="1"/>
    <col min="21" max="22" width="15.5" bestFit="1" customWidth="1"/>
    <col min="23" max="23" width="10.1640625" bestFit="1" customWidth="1"/>
    <col min="24" max="24" width="15.33203125" bestFit="1" customWidth="1"/>
    <col min="25" max="25" width="15" bestFit="1" customWidth="1"/>
    <col min="26" max="26" width="14.33203125" bestFit="1" customWidth="1"/>
    <col min="27" max="27" width="15" bestFit="1" customWidth="1"/>
    <col min="28" max="28" width="15.33203125" bestFit="1" customWidth="1"/>
    <col min="29" max="29" width="15" bestFit="1" customWidth="1"/>
    <col min="30" max="30" width="14.33203125" bestFit="1" customWidth="1"/>
    <col min="31" max="31" width="15" bestFit="1" customWidth="1"/>
    <col min="32" max="32" width="15.33203125" bestFit="1" customWidth="1"/>
    <col min="33" max="33" width="15" bestFit="1" customWidth="1"/>
    <col min="34" max="34" width="14.33203125" bestFit="1" customWidth="1"/>
    <col min="35" max="35" width="15" bestFit="1" customWidth="1"/>
    <col min="36" max="36" width="15.33203125" bestFit="1" customWidth="1"/>
    <col min="37" max="37" width="15" bestFit="1" customWidth="1"/>
    <col min="38" max="38" width="14.33203125" bestFit="1" customWidth="1"/>
    <col min="39" max="39" width="15" bestFit="1" customWidth="1"/>
    <col min="40" max="40" width="15.33203125" bestFit="1" customWidth="1"/>
    <col min="41" max="41" width="15" bestFit="1" customWidth="1"/>
    <col min="42" max="42" width="14.33203125" bestFit="1" customWidth="1"/>
    <col min="43" max="43" width="15" bestFit="1" customWidth="1"/>
    <col min="44" max="44" width="10" customWidth="1"/>
    <col min="45" max="45" width="27.1640625" bestFit="1" customWidth="1"/>
    <col min="46" max="46" width="15.33203125" bestFit="1" customWidth="1"/>
    <col min="47" max="47" width="15" bestFit="1" customWidth="1"/>
    <col min="48" max="48" width="14.33203125" bestFit="1" customWidth="1"/>
    <col min="49" max="49" width="15" bestFit="1" customWidth="1"/>
    <col min="50" max="50" width="15.33203125" bestFit="1" customWidth="1"/>
    <col min="51" max="51" width="15" bestFit="1" customWidth="1"/>
    <col min="52" max="52" width="14.33203125" bestFit="1" customWidth="1"/>
    <col min="53" max="53" width="15" bestFit="1" customWidth="1"/>
    <col min="54" max="54" width="15.33203125" bestFit="1" customWidth="1"/>
    <col min="55" max="55" width="15" bestFit="1" customWidth="1"/>
    <col min="56" max="56" width="14.33203125" bestFit="1" customWidth="1"/>
    <col min="57" max="57" width="15" bestFit="1" customWidth="1"/>
    <col min="58" max="58" width="15.33203125" bestFit="1" customWidth="1"/>
    <col min="59" max="59" width="15" bestFit="1" customWidth="1"/>
    <col min="60" max="60" width="14.33203125" bestFit="1" customWidth="1"/>
    <col min="61" max="61" width="15" bestFit="1" customWidth="1"/>
    <col min="62" max="62" width="15.33203125" bestFit="1" customWidth="1"/>
    <col min="63" max="63" width="15" bestFit="1" customWidth="1"/>
    <col min="64" max="64" width="14.33203125" bestFit="1" customWidth="1"/>
    <col min="65" max="65" width="15" bestFit="1" customWidth="1"/>
    <col min="66" max="66" width="10" customWidth="1"/>
    <col min="67" max="67" width="26.1640625" bestFit="1" customWidth="1"/>
    <col min="68" max="68" width="15.33203125" bestFit="1" customWidth="1"/>
    <col min="69" max="69" width="15" bestFit="1" customWidth="1"/>
    <col min="70" max="70" width="14.33203125" bestFit="1" customWidth="1"/>
    <col min="71" max="71" width="15" bestFit="1" customWidth="1"/>
    <col min="72" max="72" width="15.33203125" bestFit="1" customWidth="1"/>
    <col min="73" max="73" width="15" bestFit="1" customWidth="1"/>
    <col min="74" max="74" width="14.33203125" bestFit="1" customWidth="1"/>
    <col min="75" max="75" width="15" bestFit="1" customWidth="1"/>
    <col min="76" max="76" width="15.33203125" bestFit="1" customWidth="1"/>
    <col min="77" max="77" width="15" bestFit="1" customWidth="1"/>
    <col min="78" max="78" width="14.33203125" bestFit="1" customWidth="1"/>
    <col min="79" max="79" width="15" bestFit="1" customWidth="1"/>
    <col min="80" max="80" width="15.33203125" bestFit="1" customWidth="1"/>
    <col min="81" max="81" width="15" bestFit="1" customWidth="1"/>
    <col min="82" max="82" width="14.33203125" bestFit="1" customWidth="1"/>
    <col min="83" max="83" width="15" bestFit="1" customWidth="1"/>
    <col min="84" max="84" width="15.33203125" bestFit="1" customWidth="1"/>
    <col min="85" max="85" width="15" bestFit="1" customWidth="1"/>
    <col min="86" max="86" width="14.33203125" bestFit="1" customWidth="1"/>
    <col min="87" max="87" width="15" bestFit="1" customWidth="1"/>
    <col min="88" max="88" width="10" bestFit="1" customWidth="1"/>
    <col min="89" max="89" width="24.33203125" bestFit="1" customWidth="1"/>
    <col min="90" max="90" width="15.33203125" bestFit="1" customWidth="1"/>
    <col min="91" max="91" width="15" bestFit="1" customWidth="1"/>
    <col min="92" max="92" width="14.33203125" bestFit="1" customWidth="1"/>
    <col min="93" max="93" width="15" bestFit="1" customWidth="1"/>
    <col min="94" max="94" width="15.33203125" bestFit="1" customWidth="1"/>
    <col min="95" max="95" width="15" bestFit="1" customWidth="1"/>
    <col min="96" max="96" width="14.33203125" bestFit="1" customWidth="1"/>
    <col min="97" max="97" width="15" bestFit="1" customWidth="1"/>
    <col min="98" max="98" width="15.33203125" bestFit="1" customWidth="1"/>
    <col min="99" max="99" width="15" bestFit="1" customWidth="1"/>
    <col min="100" max="100" width="14.33203125" bestFit="1" customWidth="1"/>
    <col min="101" max="101" width="15" bestFit="1" customWidth="1"/>
    <col min="102" max="102" width="15.33203125" bestFit="1" customWidth="1"/>
    <col min="103" max="103" width="15" bestFit="1" customWidth="1"/>
    <col min="104" max="104" width="14.33203125" bestFit="1" customWidth="1"/>
    <col min="105" max="105" width="15" bestFit="1" customWidth="1"/>
    <col min="106" max="106" width="15.33203125" bestFit="1" customWidth="1"/>
    <col min="107" max="107" width="15" bestFit="1" customWidth="1"/>
    <col min="108" max="108" width="14.33203125" bestFit="1" customWidth="1"/>
    <col min="109" max="109" width="15" bestFit="1" customWidth="1"/>
    <col min="110" max="110" width="10" bestFit="1" customWidth="1"/>
    <col min="111" max="111" width="28.1640625" bestFit="1" customWidth="1"/>
    <col min="112" max="112" width="15.33203125" bestFit="1" customWidth="1"/>
    <col min="113" max="113" width="15" bestFit="1" customWidth="1"/>
    <col min="114" max="114" width="14.33203125" bestFit="1" customWidth="1"/>
    <col min="115" max="115" width="15" bestFit="1" customWidth="1"/>
    <col min="116" max="116" width="15.33203125" bestFit="1" customWidth="1"/>
    <col min="117" max="117" width="15" bestFit="1" customWidth="1"/>
    <col min="118" max="118" width="14.33203125" bestFit="1" customWidth="1"/>
    <col min="119" max="119" width="15" bestFit="1" customWidth="1"/>
    <col min="120" max="120" width="15.33203125" bestFit="1" customWidth="1"/>
    <col min="121" max="121" width="15" bestFit="1" customWidth="1"/>
    <col min="122" max="122" width="14.33203125" bestFit="1" customWidth="1"/>
    <col min="123" max="123" width="15" bestFit="1" customWidth="1"/>
    <col min="124" max="124" width="15.33203125" bestFit="1" customWidth="1"/>
    <col min="125" max="125" width="15" bestFit="1" customWidth="1"/>
    <col min="126" max="126" width="14.33203125" bestFit="1" customWidth="1"/>
    <col min="127" max="127" width="15" bestFit="1" customWidth="1"/>
    <col min="128" max="128" width="15.33203125" bestFit="1" customWidth="1"/>
    <col min="129" max="129" width="15" bestFit="1" customWidth="1"/>
    <col min="130" max="130" width="14.33203125" bestFit="1" customWidth="1"/>
    <col min="131" max="131" width="15" bestFit="1" customWidth="1"/>
    <col min="132" max="132" width="10" bestFit="1" customWidth="1"/>
  </cols>
  <sheetData>
    <row r="5" spans="1:22" x14ac:dyDescent="0.2">
      <c r="A5" s="1" t="s">
        <v>97</v>
      </c>
      <c r="B5" s="1" t="s">
        <v>446</v>
      </c>
      <c r="C5" s="1" t="s">
        <v>396</v>
      </c>
      <c r="D5" s="1" t="s">
        <v>98</v>
      </c>
      <c r="E5" s="1" t="s">
        <v>99</v>
      </c>
      <c r="F5" s="1" t="s">
        <v>177</v>
      </c>
      <c r="G5" s="1" t="s">
        <v>178</v>
      </c>
      <c r="H5" s="1" t="s">
        <v>100</v>
      </c>
      <c r="I5" s="1" t="s">
        <v>179</v>
      </c>
      <c r="J5" s="1" t="s">
        <v>180</v>
      </c>
      <c r="K5" s="1" t="s">
        <v>181</v>
      </c>
      <c r="L5" s="1" t="s">
        <v>101</v>
      </c>
      <c r="M5" s="1" t="s">
        <v>182</v>
      </c>
      <c r="N5" s="1" t="s">
        <v>183</v>
      </c>
      <c r="O5" s="1" t="s">
        <v>184</v>
      </c>
      <c r="P5" s="1" t="s">
        <v>102</v>
      </c>
      <c r="Q5" s="1" t="s">
        <v>185</v>
      </c>
      <c r="R5" s="1" t="s">
        <v>186</v>
      </c>
      <c r="S5" s="1" t="s">
        <v>187</v>
      </c>
      <c r="T5" s="1" t="s">
        <v>459</v>
      </c>
      <c r="U5" s="1" t="s">
        <v>462</v>
      </c>
      <c r="V5" s="1" t="s">
        <v>439</v>
      </c>
    </row>
    <row r="6" spans="1:22" x14ac:dyDescent="0.2">
      <c r="A6" s="1" t="s">
        <v>10</v>
      </c>
      <c r="B6" s="1" t="s">
        <v>484</v>
      </c>
      <c r="C6" s="1" t="s">
        <v>397</v>
      </c>
      <c r="D6" s="1" t="s">
        <v>379</v>
      </c>
      <c r="E6" s="1" t="s">
        <v>380</v>
      </c>
      <c r="F6" s="1" t="s">
        <v>372</v>
      </c>
      <c r="G6" s="1" t="s">
        <v>373</v>
      </c>
      <c r="H6" s="1" t="s">
        <v>371</v>
      </c>
      <c r="I6" s="1" t="s">
        <v>381</v>
      </c>
      <c r="J6" s="1" t="s">
        <v>375</v>
      </c>
      <c r="K6" s="1" t="s">
        <v>382</v>
      </c>
      <c r="L6" s="1" t="s">
        <v>383</v>
      </c>
      <c r="M6" s="1" t="s">
        <v>384</v>
      </c>
      <c r="N6" s="1" t="s">
        <v>376</v>
      </c>
      <c r="O6" s="1" t="s">
        <v>385</v>
      </c>
      <c r="P6" s="1" t="s">
        <v>386</v>
      </c>
      <c r="Q6" s="1" t="s">
        <v>387</v>
      </c>
      <c r="R6" s="1" t="s">
        <v>377</v>
      </c>
      <c r="S6" s="1" t="s">
        <v>388</v>
      </c>
      <c r="T6" s="1" t="s">
        <v>389</v>
      </c>
      <c r="U6" s="1" t="s">
        <v>390</v>
      </c>
      <c r="V6" s="1" t="s">
        <v>439</v>
      </c>
    </row>
    <row r="7" spans="1:22" ht="17" x14ac:dyDescent="0.2">
      <c r="A7" s="12" t="s">
        <v>32</v>
      </c>
      <c r="B7" s="4">
        <v>1330</v>
      </c>
      <c r="C7" s="4">
        <v>1077</v>
      </c>
      <c r="D7" s="4">
        <v>1232</v>
      </c>
      <c r="E7" s="4">
        <v>1355</v>
      </c>
      <c r="F7" s="4">
        <v>1430</v>
      </c>
      <c r="G7" s="4">
        <v>1361</v>
      </c>
      <c r="H7" s="4">
        <v>2356</v>
      </c>
      <c r="I7" s="4">
        <v>2311</v>
      </c>
      <c r="J7" s="4">
        <v>2370</v>
      </c>
      <c r="K7" s="4">
        <v>2580</v>
      </c>
      <c r="L7" s="4">
        <v>2621</v>
      </c>
      <c r="M7" s="4">
        <v>2092</v>
      </c>
      <c r="N7" s="4">
        <v>1480</v>
      </c>
      <c r="O7" s="4">
        <v>1128</v>
      </c>
      <c r="P7" s="3">
        <v>894.2</v>
      </c>
      <c r="Q7" s="3">
        <v>830.57</v>
      </c>
      <c r="R7" s="3">
        <v>773.9</v>
      </c>
      <c r="S7" s="3">
        <v>829.29</v>
      </c>
      <c r="T7" s="3">
        <v>879.15</v>
      </c>
      <c r="U7" s="3">
        <v>746.87</v>
      </c>
      <c r="V7" s="3" t="s">
        <v>63</v>
      </c>
    </row>
    <row r="8" spans="1:22" x14ac:dyDescent="0.2">
      <c r="A8" s="3" t="s">
        <v>188</v>
      </c>
      <c r="B8" s="5">
        <v>-7.0199999999999999E-2</v>
      </c>
      <c r="C8" s="5">
        <v>-0.20860000000000001</v>
      </c>
      <c r="D8" s="5">
        <v>-0.47720000000000001</v>
      </c>
      <c r="E8" s="5">
        <v>-0.41370000000000001</v>
      </c>
      <c r="F8" s="5">
        <v>-0.39650000000000002</v>
      </c>
      <c r="G8" s="5">
        <v>-0.47260000000000002</v>
      </c>
      <c r="H8" s="5">
        <v>-0.10100000000000001</v>
      </c>
      <c r="I8" s="5">
        <v>0.1046</v>
      </c>
      <c r="J8" s="5">
        <v>0.60189999999999999</v>
      </c>
      <c r="K8" s="5">
        <v>1.288</v>
      </c>
      <c r="L8" s="5">
        <v>1.9311</v>
      </c>
      <c r="M8" s="5">
        <v>1.5185</v>
      </c>
      <c r="N8" s="5">
        <v>0.91190000000000004</v>
      </c>
      <c r="O8" s="5">
        <v>0.3599</v>
      </c>
      <c r="P8" s="5">
        <v>1.7100000000000001E-2</v>
      </c>
      <c r="Q8" s="5">
        <v>0.11210000000000001</v>
      </c>
      <c r="R8" s="5">
        <v>1.29E-2</v>
      </c>
      <c r="S8" s="5">
        <v>0.12239999999999999</v>
      </c>
      <c r="T8" s="5">
        <v>-0.1143</v>
      </c>
      <c r="U8" s="5">
        <v>-0.151</v>
      </c>
      <c r="V8" s="3" t="s">
        <v>63</v>
      </c>
    </row>
    <row r="9" spans="1:22" x14ac:dyDescent="0.2">
      <c r="A9" s="3" t="s">
        <v>103</v>
      </c>
      <c r="B9" s="4">
        <v>1133</v>
      </c>
      <c r="C9" s="3">
        <v>920.58</v>
      </c>
      <c r="D9" s="4">
        <v>1072</v>
      </c>
      <c r="E9" s="4">
        <v>1459</v>
      </c>
      <c r="F9" s="4">
        <v>1441</v>
      </c>
      <c r="G9" s="4">
        <v>1320</v>
      </c>
      <c r="H9" s="4">
        <v>3049</v>
      </c>
      <c r="I9" s="4">
        <v>2256</v>
      </c>
      <c r="J9" s="4">
        <v>1812</v>
      </c>
      <c r="K9" s="4">
        <v>1304</v>
      </c>
      <c r="L9" s="4">
        <v>1620</v>
      </c>
      <c r="M9" s="4">
        <v>1045</v>
      </c>
      <c r="N9" s="3">
        <v>898.67</v>
      </c>
      <c r="O9" s="3">
        <v>678.7</v>
      </c>
      <c r="P9" s="3">
        <v>647.11</v>
      </c>
      <c r="Q9" s="3">
        <v>581.29</v>
      </c>
      <c r="R9" s="3">
        <v>525.48</v>
      </c>
      <c r="S9" s="3">
        <v>565.6</v>
      </c>
      <c r="T9" s="3">
        <v>612.42999999999995</v>
      </c>
      <c r="U9" s="3">
        <v>492.81</v>
      </c>
      <c r="V9" s="3" t="s">
        <v>63</v>
      </c>
    </row>
    <row r="10" spans="1:22" x14ac:dyDescent="0.2">
      <c r="A10" s="3" t="s">
        <v>1</v>
      </c>
      <c r="B10" s="3">
        <v>196.88</v>
      </c>
      <c r="C10" s="3">
        <v>156.30000000000001</v>
      </c>
      <c r="D10" s="3">
        <v>159.91</v>
      </c>
      <c r="E10" s="3">
        <v>-104.03</v>
      </c>
      <c r="F10" s="3">
        <v>-10.58</v>
      </c>
      <c r="G10" s="3">
        <v>40.340000000000003</v>
      </c>
      <c r="H10" s="3">
        <v>-693.05</v>
      </c>
      <c r="I10" s="3">
        <v>54.93</v>
      </c>
      <c r="J10" s="3">
        <v>558.49</v>
      </c>
      <c r="K10" s="4">
        <v>1277</v>
      </c>
      <c r="L10" s="4">
        <v>1001</v>
      </c>
      <c r="M10" s="4">
        <v>1047</v>
      </c>
      <c r="N10" s="3">
        <v>580.91999999999996</v>
      </c>
      <c r="O10" s="3">
        <v>449.03</v>
      </c>
      <c r="P10" s="3">
        <v>247.09</v>
      </c>
      <c r="Q10" s="3">
        <v>249.27</v>
      </c>
      <c r="R10" s="3">
        <v>248.42</v>
      </c>
      <c r="S10" s="3">
        <v>263.69</v>
      </c>
      <c r="T10" s="3">
        <v>266.72000000000003</v>
      </c>
      <c r="U10" s="3">
        <v>254.06</v>
      </c>
      <c r="V10" s="3" t="s">
        <v>63</v>
      </c>
    </row>
    <row r="11" spans="1:22" x14ac:dyDescent="0.2">
      <c r="A11" s="3" t="s">
        <v>104</v>
      </c>
      <c r="B11" s="3">
        <v>132.46</v>
      </c>
      <c r="C11" s="3">
        <v>121.76</v>
      </c>
      <c r="D11" s="3">
        <v>118.08</v>
      </c>
      <c r="E11" s="3">
        <v>153.4</v>
      </c>
      <c r="F11" s="3">
        <v>164.52</v>
      </c>
      <c r="G11" s="3">
        <v>159.06</v>
      </c>
      <c r="H11" s="3">
        <v>169.39</v>
      </c>
      <c r="I11" s="3">
        <v>162.01</v>
      </c>
      <c r="J11" s="3">
        <v>163.95</v>
      </c>
      <c r="K11" s="3">
        <v>149.12</v>
      </c>
      <c r="L11" s="3">
        <v>95.78</v>
      </c>
      <c r="M11" s="3">
        <v>124.03</v>
      </c>
      <c r="N11" s="3">
        <v>117.45</v>
      </c>
      <c r="O11" s="3">
        <v>105.59</v>
      </c>
      <c r="P11" s="3">
        <v>49.35</v>
      </c>
      <c r="Q11" s="3">
        <v>95.73</v>
      </c>
      <c r="R11" s="3">
        <v>113.39</v>
      </c>
      <c r="S11" s="3">
        <v>85.59</v>
      </c>
      <c r="T11" s="3">
        <v>155.68</v>
      </c>
      <c r="U11" s="3">
        <v>85.02</v>
      </c>
      <c r="V11" s="3" t="s">
        <v>63</v>
      </c>
    </row>
    <row r="12" spans="1:22" x14ac:dyDescent="0.2">
      <c r="A12" s="3" t="s">
        <v>215</v>
      </c>
      <c r="B12" s="3">
        <v>12.44</v>
      </c>
      <c r="C12" s="3">
        <v>14.1</v>
      </c>
      <c r="D12" s="3">
        <v>20.02</v>
      </c>
      <c r="E12" s="3">
        <v>22.4</v>
      </c>
      <c r="F12" s="3">
        <v>20.77</v>
      </c>
      <c r="G12" s="3">
        <v>23.53</v>
      </c>
      <c r="H12" s="3">
        <v>22.75</v>
      </c>
      <c r="I12" s="3">
        <v>21.08</v>
      </c>
      <c r="J12" s="3">
        <v>21.42</v>
      </c>
      <c r="K12" s="3">
        <v>20.47</v>
      </c>
      <c r="L12" s="3">
        <v>20.149999999999999</v>
      </c>
      <c r="M12" s="3">
        <v>18.36</v>
      </c>
      <c r="N12" s="3">
        <v>17.39</v>
      </c>
      <c r="O12" s="3">
        <v>16.079999999999998</v>
      </c>
      <c r="P12" s="3">
        <v>12.13</v>
      </c>
      <c r="Q12" s="3">
        <v>13.29</v>
      </c>
      <c r="R12" s="3">
        <v>13.98</v>
      </c>
      <c r="S12" s="3">
        <v>14.64</v>
      </c>
      <c r="T12" s="3">
        <v>15.38</v>
      </c>
      <c r="U12" s="3">
        <v>13.53</v>
      </c>
      <c r="V12" s="3" t="s">
        <v>63</v>
      </c>
    </row>
    <row r="13" spans="1:22" x14ac:dyDescent="0.2">
      <c r="A13" s="3" t="s">
        <v>105</v>
      </c>
      <c r="B13" s="3">
        <v>144.9</v>
      </c>
      <c r="C13" s="3">
        <v>135.86000000000001</v>
      </c>
      <c r="D13" s="3">
        <v>138.1</v>
      </c>
      <c r="E13" s="3">
        <v>175.8</v>
      </c>
      <c r="F13" s="3">
        <v>185.29</v>
      </c>
      <c r="G13" s="3">
        <v>182.6</v>
      </c>
      <c r="H13" s="3">
        <v>192.15</v>
      </c>
      <c r="I13" s="3">
        <v>183.09</v>
      </c>
      <c r="J13" s="3">
        <v>185.37</v>
      </c>
      <c r="K13" s="3">
        <v>169.59</v>
      </c>
      <c r="L13" s="3">
        <v>115.93</v>
      </c>
      <c r="M13" s="3">
        <v>142.38999999999999</v>
      </c>
      <c r="N13" s="3">
        <v>134.84</v>
      </c>
      <c r="O13" s="3">
        <v>121.67</v>
      </c>
      <c r="P13" s="3">
        <v>61.47</v>
      </c>
      <c r="Q13" s="3">
        <v>109.02</v>
      </c>
      <c r="R13" s="3">
        <v>127.37</v>
      </c>
      <c r="S13" s="3">
        <v>100.23</v>
      </c>
      <c r="T13" s="3">
        <v>171.05</v>
      </c>
      <c r="U13" s="3">
        <v>98.55</v>
      </c>
      <c r="V13" s="3" t="s">
        <v>63</v>
      </c>
    </row>
    <row r="14" spans="1:22" x14ac:dyDescent="0.2">
      <c r="A14" s="3" t="s">
        <v>106</v>
      </c>
      <c r="B14" s="3">
        <v>51.98</v>
      </c>
      <c r="C14" s="3">
        <v>20.440000000000001</v>
      </c>
      <c r="D14" s="3">
        <v>21.81</v>
      </c>
      <c r="E14" s="3">
        <v>-279.83</v>
      </c>
      <c r="F14" s="3">
        <v>-195.87</v>
      </c>
      <c r="G14" s="3">
        <v>-142.26</v>
      </c>
      <c r="H14" s="3">
        <v>-885.2</v>
      </c>
      <c r="I14" s="3">
        <v>-128.15</v>
      </c>
      <c r="J14" s="3">
        <v>373.12</v>
      </c>
      <c r="K14" s="4">
        <v>1107</v>
      </c>
      <c r="L14" s="3">
        <v>885.39</v>
      </c>
      <c r="M14" s="3">
        <v>904.13</v>
      </c>
      <c r="N14" s="3">
        <v>446.09</v>
      </c>
      <c r="O14" s="3">
        <v>327.36</v>
      </c>
      <c r="P14" s="3">
        <v>185.62</v>
      </c>
      <c r="Q14" s="3">
        <v>140.26</v>
      </c>
      <c r="R14" s="3">
        <v>121.05</v>
      </c>
      <c r="S14" s="3">
        <v>163.46</v>
      </c>
      <c r="T14" s="3">
        <v>95.67</v>
      </c>
      <c r="U14" s="3">
        <v>155.5</v>
      </c>
      <c r="V14" s="3" t="s">
        <v>63</v>
      </c>
    </row>
    <row r="15" spans="1:22" x14ac:dyDescent="0.2">
      <c r="A15" s="3" t="s">
        <v>107</v>
      </c>
      <c r="B15" s="3">
        <v>-49.94</v>
      </c>
      <c r="C15" s="3">
        <v>-48.98</v>
      </c>
      <c r="D15" s="3">
        <v>-44.7</v>
      </c>
      <c r="E15" s="3">
        <v>-47.76</v>
      </c>
      <c r="F15" s="3">
        <v>-35.19</v>
      </c>
      <c r="G15" s="3">
        <v>-37.97</v>
      </c>
      <c r="H15" s="3">
        <v>-34.39</v>
      </c>
      <c r="I15" s="3">
        <v>-29.33</v>
      </c>
      <c r="J15" s="3">
        <v>-25.58</v>
      </c>
      <c r="K15" s="3">
        <v>-26.78</v>
      </c>
      <c r="L15" s="3">
        <v>-24.04</v>
      </c>
      <c r="M15" s="3">
        <v>-29.69</v>
      </c>
      <c r="N15" s="3">
        <v>-22.19</v>
      </c>
      <c r="O15" s="3">
        <v>-27.83</v>
      </c>
      <c r="P15" s="3">
        <v>-5.31</v>
      </c>
      <c r="Q15" s="3">
        <v>-5.14</v>
      </c>
      <c r="R15" s="3">
        <v>-5.95</v>
      </c>
      <c r="S15" s="3">
        <v>-16.079999999999998</v>
      </c>
      <c r="T15" s="3">
        <v>-19.149999999999999</v>
      </c>
      <c r="U15" s="3">
        <v>-19.23</v>
      </c>
      <c r="V15" s="3" t="s">
        <v>63</v>
      </c>
    </row>
    <row r="16" spans="1:22" x14ac:dyDescent="0.2">
      <c r="A16" s="3" t="s">
        <v>108</v>
      </c>
      <c r="B16" s="3" t="s">
        <v>12</v>
      </c>
      <c r="C16" s="3">
        <v>9.8000000000000007</v>
      </c>
      <c r="D16" s="3">
        <v>9.5</v>
      </c>
      <c r="E16" s="3">
        <v>9.1999999999999993</v>
      </c>
      <c r="F16" s="3">
        <v>8.9</v>
      </c>
      <c r="G16" s="3">
        <v>8.6999999999999993</v>
      </c>
      <c r="H16" s="3">
        <v>8.4</v>
      </c>
      <c r="I16" s="3">
        <v>8.1999999999999993</v>
      </c>
      <c r="J16" s="3" t="s">
        <v>12</v>
      </c>
      <c r="K16" s="3" t="s">
        <v>12</v>
      </c>
      <c r="L16" s="3" t="s">
        <v>12</v>
      </c>
      <c r="M16" s="3" t="s">
        <v>12</v>
      </c>
      <c r="N16" s="3" t="s">
        <v>12</v>
      </c>
      <c r="O16" s="3" t="s">
        <v>12</v>
      </c>
      <c r="P16" s="3" t="s">
        <v>12</v>
      </c>
      <c r="Q16" s="3" t="s">
        <v>12</v>
      </c>
      <c r="R16" s="3" t="s">
        <v>12</v>
      </c>
      <c r="S16" s="3" t="s">
        <v>12</v>
      </c>
      <c r="T16" s="3" t="s">
        <v>12</v>
      </c>
      <c r="U16" s="3" t="s">
        <v>12</v>
      </c>
      <c r="V16" s="3" t="s">
        <v>63</v>
      </c>
    </row>
    <row r="17" spans="1:22" x14ac:dyDescent="0.2">
      <c r="A17" s="3" t="s">
        <v>463</v>
      </c>
      <c r="B17" s="3">
        <v>78.260000000000005</v>
      </c>
      <c r="C17" s="3">
        <v>64.290000000000006</v>
      </c>
      <c r="D17" s="3">
        <v>19</v>
      </c>
      <c r="E17" s="3">
        <v>229.06</v>
      </c>
      <c r="F17" s="3">
        <v>286.88</v>
      </c>
      <c r="G17" s="3">
        <v>180.5</v>
      </c>
      <c r="H17" s="3">
        <v>436.54</v>
      </c>
      <c r="I17" s="3">
        <v>470.31</v>
      </c>
      <c r="J17" s="3">
        <v>551.04999999999995</v>
      </c>
      <c r="K17" s="3">
        <v>396.19</v>
      </c>
      <c r="L17" s="3">
        <v>322.8</v>
      </c>
      <c r="M17" s="3">
        <v>258.88</v>
      </c>
      <c r="N17" s="3">
        <v>128.16</v>
      </c>
      <c r="O17" s="3">
        <v>62.44</v>
      </c>
      <c r="P17" s="3">
        <v>33.56</v>
      </c>
      <c r="Q17" s="3">
        <v>27.71</v>
      </c>
      <c r="R17" s="3">
        <v>18</v>
      </c>
      <c r="S17" s="3">
        <v>16.510000000000002</v>
      </c>
      <c r="T17" s="3">
        <v>43.65</v>
      </c>
      <c r="U17" s="3">
        <v>26.15</v>
      </c>
      <c r="V17" s="3" t="s">
        <v>63</v>
      </c>
    </row>
    <row r="18" spans="1:22" x14ac:dyDescent="0.2">
      <c r="A18" s="3" t="s">
        <v>391</v>
      </c>
      <c r="B18" s="3" t="s">
        <v>12</v>
      </c>
      <c r="C18" s="3">
        <v>52.08</v>
      </c>
      <c r="D18" s="3">
        <v>75.06</v>
      </c>
      <c r="E18" s="3">
        <v>-20.53</v>
      </c>
      <c r="F18" s="3">
        <v>-1.85</v>
      </c>
      <c r="G18" s="3">
        <v>14.82</v>
      </c>
      <c r="H18" s="3">
        <v>-144.27000000000001</v>
      </c>
      <c r="I18" s="3">
        <v>-59.24</v>
      </c>
      <c r="J18" s="3">
        <v>208.17</v>
      </c>
      <c r="K18" s="3">
        <v>35.229999999999997</v>
      </c>
      <c r="L18" s="3">
        <v>14.53</v>
      </c>
      <c r="M18" s="3">
        <v>-9.06</v>
      </c>
      <c r="N18" s="3">
        <v>-23.3</v>
      </c>
      <c r="O18" s="3">
        <v>-3.97</v>
      </c>
      <c r="P18" s="3">
        <v>-0.56000000000000005</v>
      </c>
      <c r="Q18" s="3">
        <v>-1.2</v>
      </c>
      <c r="R18" s="3">
        <v>2.0499999999999998</v>
      </c>
      <c r="S18" s="3">
        <v>-0.19</v>
      </c>
      <c r="T18" s="3">
        <v>-23.6</v>
      </c>
      <c r="U18" s="3">
        <v>3.1</v>
      </c>
      <c r="V18" s="3" t="s">
        <v>63</v>
      </c>
    </row>
    <row r="19" spans="1:22" x14ac:dyDescent="0.2">
      <c r="A19" s="3" t="s">
        <v>338</v>
      </c>
      <c r="B19" s="3">
        <v>-6.56</v>
      </c>
      <c r="C19" s="3">
        <v>-48.01</v>
      </c>
      <c r="D19" s="3">
        <v>10.88</v>
      </c>
      <c r="E19" s="3">
        <v>7.95</v>
      </c>
      <c r="F19" s="3">
        <v>44.08</v>
      </c>
      <c r="G19" s="3">
        <v>52.23</v>
      </c>
      <c r="H19" s="3">
        <v>171.32</v>
      </c>
      <c r="I19" s="3">
        <v>82.11</v>
      </c>
      <c r="J19" s="3">
        <v>-167.41</v>
      </c>
      <c r="K19" s="3">
        <v>2.08</v>
      </c>
      <c r="L19" s="3">
        <v>6.53</v>
      </c>
      <c r="M19" s="3">
        <v>-2.7</v>
      </c>
      <c r="N19" s="3">
        <v>27.05</v>
      </c>
      <c r="O19" s="3">
        <v>15.08</v>
      </c>
      <c r="P19" s="3">
        <v>-33.29</v>
      </c>
      <c r="Q19" s="3">
        <v>9.9700000000000006</v>
      </c>
      <c r="R19" s="3">
        <v>-7.78</v>
      </c>
      <c r="S19" s="3">
        <v>4.3099999999999996</v>
      </c>
      <c r="T19" s="3">
        <v>14.22</v>
      </c>
      <c r="U19" s="3">
        <v>-9.4600000000000009</v>
      </c>
      <c r="V19" s="3" t="s">
        <v>63</v>
      </c>
    </row>
    <row r="20" spans="1:22" x14ac:dyDescent="0.2">
      <c r="A20" s="3" t="s">
        <v>189</v>
      </c>
      <c r="B20" s="3">
        <v>73.739999999999995</v>
      </c>
      <c r="C20" s="3">
        <v>49.62</v>
      </c>
      <c r="D20" s="3">
        <v>91.55</v>
      </c>
      <c r="E20" s="3">
        <v>-101.92</v>
      </c>
      <c r="F20" s="3">
        <v>106.95</v>
      </c>
      <c r="G20" s="3">
        <v>76.03</v>
      </c>
      <c r="H20" s="3">
        <v>-447.6</v>
      </c>
      <c r="I20" s="3">
        <v>343.89</v>
      </c>
      <c r="J20" s="3">
        <v>939.36</v>
      </c>
      <c r="K20" s="4">
        <v>1514</v>
      </c>
      <c r="L20" s="4">
        <v>1205</v>
      </c>
      <c r="M20" s="4">
        <v>1122</v>
      </c>
      <c r="N20" s="3">
        <v>555.79999999999995</v>
      </c>
      <c r="O20" s="3">
        <v>373.07</v>
      </c>
      <c r="P20" s="3">
        <v>180.02</v>
      </c>
      <c r="Q20" s="3">
        <v>171.6</v>
      </c>
      <c r="R20" s="3">
        <v>127.37</v>
      </c>
      <c r="S20" s="3">
        <v>168</v>
      </c>
      <c r="T20" s="3">
        <v>110.79</v>
      </c>
      <c r="U20" s="3">
        <v>156.08000000000001</v>
      </c>
      <c r="V20" s="3" t="s">
        <v>63</v>
      </c>
    </row>
    <row r="21" spans="1:22" x14ac:dyDescent="0.2">
      <c r="A21" s="3" t="s">
        <v>440</v>
      </c>
      <c r="B21" s="3">
        <v>-4.45</v>
      </c>
      <c r="C21" s="3">
        <v>-0.57999999999999996</v>
      </c>
      <c r="D21" s="3">
        <v>-4.8899999999999997</v>
      </c>
      <c r="E21" s="3">
        <v>-844.79</v>
      </c>
      <c r="F21" s="3">
        <v>-4.1100000000000003</v>
      </c>
      <c r="G21" s="3">
        <v>-38.14</v>
      </c>
      <c r="H21" s="3">
        <v>-5.61</v>
      </c>
      <c r="I21" s="3">
        <v>-12.5</v>
      </c>
      <c r="J21" s="3">
        <v>-14.64</v>
      </c>
      <c r="K21" s="3">
        <v>-5.81</v>
      </c>
      <c r="L21" s="3">
        <v>-7.92</v>
      </c>
      <c r="M21" s="3">
        <v>-3.55</v>
      </c>
      <c r="N21" s="3">
        <v>-6.48</v>
      </c>
      <c r="O21" s="3">
        <v>-1.72</v>
      </c>
      <c r="P21" s="3">
        <v>-7.77</v>
      </c>
      <c r="Q21" s="3">
        <v>-2.31</v>
      </c>
      <c r="R21" s="3">
        <v>-2.68</v>
      </c>
      <c r="S21" s="3">
        <v>-2.16</v>
      </c>
      <c r="T21" s="3">
        <v>-11.71</v>
      </c>
      <c r="U21" s="3">
        <v>-8.18</v>
      </c>
      <c r="V21" s="3" t="s">
        <v>63</v>
      </c>
    </row>
    <row r="22" spans="1:22" x14ac:dyDescent="0.2">
      <c r="A22" s="3" t="s">
        <v>486</v>
      </c>
      <c r="B22" s="3" t="s">
        <v>12</v>
      </c>
      <c r="C22" s="3" t="s">
        <v>12</v>
      </c>
      <c r="D22" s="3" t="s">
        <v>12</v>
      </c>
      <c r="E22" s="3" t="s">
        <v>12</v>
      </c>
      <c r="F22" s="3" t="s">
        <v>12</v>
      </c>
      <c r="G22" s="3" t="s">
        <v>12</v>
      </c>
      <c r="H22" s="3">
        <v>-6.77</v>
      </c>
      <c r="I22" s="3" t="s">
        <v>12</v>
      </c>
      <c r="J22" s="3" t="s">
        <v>12</v>
      </c>
      <c r="K22" s="3" t="s">
        <v>12</v>
      </c>
      <c r="L22" s="3" t="s">
        <v>12</v>
      </c>
      <c r="M22" s="3" t="s">
        <v>12</v>
      </c>
      <c r="N22" s="3" t="s">
        <v>12</v>
      </c>
      <c r="O22" s="3" t="s">
        <v>12</v>
      </c>
      <c r="P22" s="3" t="s">
        <v>12</v>
      </c>
      <c r="Q22" s="3" t="s">
        <v>12</v>
      </c>
      <c r="R22" s="3" t="s">
        <v>12</v>
      </c>
      <c r="S22" s="3" t="s">
        <v>12</v>
      </c>
      <c r="T22" s="3" t="s">
        <v>12</v>
      </c>
      <c r="U22" s="3" t="s">
        <v>12</v>
      </c>
      <c r="V22" s="3" t="s">
        <v>63</v>
      </c>
    </row>
    <row r="23" spans="1:22" x14ac:dyDescent="0.2">
      <c r="A23" s="3" t="s">
        <v>450</v>
      </c>
      <c r="B23" s="3" t="s">
        <v>12</v>
      </c>
      <c r="C23" s="3">
        <v>-5.0199999999999996</v>
      </c>
      <c r="D23" s="3">
        <v>-6.94</v>
      </c>
      <c r="E23" s="3">
        <v>-4.9800000000000004</v>
      </c>
      <c r="F23" s="3">
        <v>-17.78</v>
      </c>
      <c r="G23" s="3">
        <v>-43.16</v>
      </c>
      <c r="H23" s="3">
        <v>-2.44</v>
      </c>
      <c r="I23" s="3">
        <v>-26.45</v>
      </c>
      <c r="J23" s="3">
        <v>17.72</v>
      </c>
      <c r="K23" s="3">
        <v>45.8</v>
      </c>
      <c r="L23" s="3">
        <v>-14.71</v>
      </c>
      <c r="M23" s="3">
        <v>10.63</v>
      </c>
      <c r="N23" s="3" t="s">
        <v>12</v>
      </c>
      <c r="O23" s="3">
        <v>-1.47</v>
      </c>
      <c r="P23" s="3" t="s">
        <v>12</v>
      </c>
      <c r="Q23" s="3" t="s">
        <v>12</v>
      </c>
      <c r="R23" s="3" t="s">
        <v>12</v>
      </c>
      <c r="S23" s="3">
        <v>1.76</v>
      </c>
      <c r="T23" s="3">
        <v>7.2</v>
      </c>
      <c r="U23" s="3" t="s">
        <v>12</v>
      </c>
      <c r="V23" s="3" t="s">
        <v>63</v>
      </c>
    </row>
    <row r="24" spans="1:22" x14ac:dyDescent="0.2">
      <c r="A24" s="3" t="s">
        <v>458</v>
      </c>
      <c r="B24" s="3" t="s">
        <v>12</v>
      </c>
      <c r="C24" s="3" t="s">
        <v>12</v>
      </c>
      <c r="D24" s="3">
        <v>23.6</v>
      </c>
      <c r="E24" s="3" t="s">
        <v>12</v>
      </c>
      <c r="F24" s="3" t="s">
        <v>12</v>
      </c>
      <c r="G24" s="3">
        <v>17.3</v>
      </c>
      <c r="H24" s="3" t="s">
        <v>12</v>
      </c>
      <c r="I24" s="3" t="s">
        <v>12</v>
      </c>
      <c r="J24" s="3" t="s">
        <v>12</v>
      </c>
      <c r="K24" s="3" t="s">
        <v>12</v>
      </c>
      <c r="L24" s="3">
        <v>8.4</v>
      </c>
      <c r="M24" s="3" t="s">
        <v>12</v>
      </c>
      <c r="N24" s="3" t="s">
        <v>12</v>
      </c>
      <c r="O24" s="3">
        <v>-8.4</v>
      </c>
      <c r="P24" s="3">
        <v>-132.44999999999999</v>
      </c>
      <c r="Q24" s="3">
        <v>-0.98</v>
      </c>
      <c r="R24" s="3">
        <v>429.41</v>
      </c>
      <c r="S24" s="3" t="s">
        <v>12</v>
      </c>
      <c r="T24" s="3">
        <v>2.8</v>
      </c>
      <c r="U24" s="3" t="s">
        <v>12</v>
      </c>
      <c r="V24" s="3" t="s">
        <v>63</v>
      </c>
    </row>
    <row r="25" spans="1:22" x14ac:dyDescent="0.2">
      <c r="A25" s="3" t="s">
        <v>464</v>
      </c>
      <c r="B25" s="3" t="s">
        <v>12</v>
      </c>
      <c r="C25" s="3" t="s">
        <v>12</v>
      </c>
      <c r="D25" s="3" t="s">
        <v>12</v>
      </c>
      <c r="E25" s="3" t="s">
        <v>12</v>
      </c>
      <c r="F25" s="3">
        <v>-292.32</v>
      </c>
      <c r="G25" s="3" t="s">
        <v>12</v>
      </c>
      <c r="H25" s="3" t="s">
        <v>12</v>
      </c>
      <c r="I25" s="3" t="s">
        <v>12</v>
      </c>
      <c r="J25" s="3" t="s">
        <v>12</v>
      </c>
      <c r="K25" s="3" t="s">
        <v>12</v>
      </c>
      <c r="L25" s="3" t="s">
        <v>12</v>
      </c>
      <c r="M25" s="3" t="s">
        <v>12</v>
      </c>
      <c r="N25" s="3" t="s">
        <v>12</v>
      </c>
      <c r="O25" s="3" t="s">
        <v>12</v>
      </c>
      <c r="P25" s="3" t="s">
        <v>12</v>
      </c>
      <c r="Q25" s="3" t="s">
        <v>12</v>
      </c>
      <c r="R25" s="3" t="s">
        <v>12</v>
      </c>
      <c r="S25" s="3" t="s">
        <v>12</v>
      </c>
      <c r="T25" s="3" t="s">
        <v>12</v>
      </c>
      <c r="U25" s="3" t="s">
        <v>12</v>
      </c>
      <c r="V25" s="3" t="s">
        <v>63</v>
      </c>
    </row>
    <row r="26" spans="1:22" x14ac:dyDescent="0.2">
      <c r="A26" s="3" t="s">
        <v>481</v>
      </c>
      <c r="B26" s="3" t="s">
        <v>12</v>
      </c>
      <c r="C26" s="3">
        <v>-0.6</v>
      </c>
      <c r="D26" s="3" t="s">
        <v>12</v>
      </c>
      <c r="E26" s="3">
        <v>-0.1</v>
      </c>
      <c r="F26" s="3" t="s">
        <v>12</v>
      </c>
      <c r="G26" s="3">
        <v>-0.1</v>
      </c>
      <c r="H26" s="3">
        <v>-15.1</v>
      </c>
      <c r="I26" s="3" t="s">
        <v>12</v>
      </c>
      <c r="J26" s="3">
        <v>-218.51</v>
      </c>
      <c r="K26" s="3" t="s">
        <v>12</v>
      </c>
      <c r="L26" s="3" t="s">
        <v>12</v>
      </c>
      <c r="M26" s="3" t="s">
        <v>12</v>
      </c>
      <c r="N26" s="3">
        <v>-0.5</v>
      </c>
      <c r="O26" s="3">
        <v>0.6</v>
      </c>
      <c r="P26" s="3">
        <v>-10.5</v>
      </c>
      <c r="Q26" s="3">
        <v>-657.41</v>
      </c>
      <c r="R26" s="3" t="s">
        <v>12</v>
      </c>
      <c r="S26" s="3" t="s">
        <v>12</v>
      </c>
      <c r="T26" s="3">
        <v>-1.3</v>
      </c>
      <c r="U26" s="3">
        <v>-0.2</v>
      </c>
      <c r="V26" s="3" t="s">
        <v>63</v>
      </c>
    </row>
    <row r="27" spans="1:22" x14ac:dyDescent="0.2">
      <c r="A27" s="3" t="s">
        <v>441</v>
      </c>
      <c r="B27" s="3" t="s">
        <v>12</v>
      </c>
      <c r="C27" s="3">
        <v>1.9</v>
      </c>
      <c r="D27" s="3">
        <v>-7.6</v>
      </c>
      <c r="E27" s="3">
        <v>2</v>
      </c>
      <c r="F27" s="3" t="s">
        <v>12</v>
      </c>
      <c r="G27" s="3">
        <v>1</v>
      </c>
      <c r="H27" s="3">
        <v>-7</v>
      </c>
      <c r="I27" s="3" t="s">
        <v>12</v>
      </c>
      <c r="J27" s="3">
        <v>-4.5</v>
      </c>
      <c r="K27" s="3" t="s">
        <v>12</v>
      </c>
      <c r="L27" s="3">
        <v>-5.0999999999999996</v>
      </c>
      <c r="M27" s="3">
        <v>-0.5</v>
      </c>
      <c r="N27" s="3">
        <v>-19.22</v>
      </c>
      <c r="O27" s="3" t="s">
        <v>12</v>
      </c>
      <c r="P27" s="3">
        <v>-3.8</v>
      </c>
      <c r="Q27" s="3" t="s">
        <v>12</v>
      </c>
      <c r="R27" s="3">
        <v>-0.9</v>
      </c>
      <c r="S27" s="3">
        <v>-27.8</v>
      </c>
      <c r="T27" s="3">
        <v>-15.7</v>
      </c>
      <c r="U27" s="3" t="s">
        <v>12</v>
      </c>
      <c r="V27" s="3" t="s">
        <v>63</v>
      </c>
    </row>
    <row r="28" spans="1:22" x14ac:dyDescent="0.2">
      <c r="A28" s="3" t="s">
        <v>109</v>
      </c>
      <c r="B28" s="3">
        <v>69.290000000000006</v>
      </c>
      <c r="C28" s="3">
        <v>45.32</v>
      </c>
      <c r="D28" s="3">
        <v>95.72</v>
      </c>
      <c r="E28" s="3">
        <v>-949.79</v>
      </c>
      <c r="F28" s="3">
        <v>-207.25</v>
      </c>
      <c r="G28" s="3">
        <v>12.93</v>
      </c>
      <c r="H28" s="3">
        <v>-484.41</v>
      </c>
      <c r="I28" s="3">
        <v>312.14</v>
      </c>
      <c r="J28" s="3">
        <v>719.43</v>
      </c>
      <c r="K28" s="4">
        <v>1554</v>
      </c>
      <c r="L28" s="4">
        <v>1186</v>
      </c>
      <c r="M28" s="4">
        <v>1128</v>
      </c>
      <c r="N28" s="3">
        <v>529.61</v>
      </c>
      <c r="O28" s="3">
        <v>362.08</v>
      </c>
      <c r="P28" s="3">
        <v>25.49</v>
      </c>
      <c r="Q28" s="3">
        <v>-489.1</v>
      </c>
      <c r="R28" s="3">
        <v>553.19000000000005</v>
      </c>
      <c r="S28" s="3">
        <v>139.81</v>
      </c>
      <c r="T28" s="3">
        <v>92.08</v>
      </c>
      <c r="U28" s="3">
        <v>147.69999999999999</v>
      </c>
      <c r="V28" s="3" t="s">
        <v>63</v>
      </c>
    </row>
    <row r="29" spans="1:22" x14ac:dyDescent="0.2">
      <c r="A29" s="3" t="s">
        <v>110</v>
      </c>
      <c r="B29" s="3">
        <v>34.090000000000003</v>
      </c>
      <c r="C29" s="3">
        <v>-3.98</v>
      </c>
      <c r="D29" s="3">
        <v>10.61</v>
      </c>
      <c r="E29" s="3">
        <v>110.85</v>
      </c>
      <c r="F29" s="3">
        <v>-30.66</v>
      </c>
      <c r="G29" s="3">
        <v>-3.72</v>
      </c>
      <c r="H29" s="3">
        <v>118.88</v>
      </c>
      <c r="I29" s="3">
        <v>-8.5500000000000007</v>
      </c>
      <c r="J29" s="3">
        <v>42.99</v>
      </c>
      <c r="K29" s="3">
        <v>276.95999999999998</v>
      </c>
      <c r="L29" s="3">
        <v>24.1</v>
      </c>
      <c r="M29" s="3">
        <v>196.94</v>
      </c>
      <c r="N29" s="3">
        <v>89.02</v>
      </c>
      <c r="O29" s="3">
        <v>80.53</v>
      </c>
      <c r="P29" s="3">
        <v>15.02</v>
      </c>
      <c r="Q29" s="3">
        <v>-114.67</v>
      </c>
      <c r="R29" s="3">
        <v>106.99</v>
      </c>
      <c r="S29" s="3">
        <v>22.11</v>
      </c>
      <c r="T29" s="3">
        <v>-10.1</v>
      </c>
      <c r="U29" s="3">
        <v>30.65</v>
      </c>
      <c r="V29" s="3" t="s">
        <v>63</v>
      </c>
    </row>
    <row r="30" spans="1:22" ht="30" x14ac:dyDescent="0.2">
      <c r="A30" s="3" t="s">
        <v>465</v>
      </c>
      <c r="B30" s="3">
        <v>35.19</v>
      </c>
      <c r="C30" s="3">
        <v>49.3</v>
      </c>
      <c r="D30" s="3">
        <v>85.11</v>
      </c>
      <c r="E30" s="4">
        <v>-1061</v>
      </c>
      <c r="F30" s="3">
        <v>-176.59</v>
      </c>
      <c r="G30" s="3">
        <v>16.649999999999999</v>
      </c>
      <c r="H30" s="3">
        <v>-603.29</v>
      </c>
      <c r="I30" s="3">
        <v>320.69</v>
      </c>
      <c r="J30" s="3">
        <v>676.44</v>
      </c>
      <c r="K30" s="4">
        <v>1277</v>
      </c>
      <c r="L30" s="4">
        <v>1162</v>
      </c>
      <c r="M30" s="3">
        <v>931.21</v>
      </c>
      <c r="N30" s="3">
        <v>440.59</v>
      </c>
      <c r="O30" s="3">
        <v>281.55</v>
      </c>
      <c r="P30" s="3">
        <v>10.47</v>
      </c>
      <c r="Q30" s="3">
        <v>-374.43</v>
      </c>
      <c r="R30" s="3">
        <v>446.21</v>
      </c>
      <c r="S30" s="3">
        <v>117.7</v>
      </c>
      <c r="T30" s="3">
        <v>102.18</v>
      </c>
      <c r="U30" s="3">
        <v>117.05</v>
      </c>
      <c r="V30" s="3" t="s">
        <v>63</v>
      </c>
    </row>
    <row r="31" spans="1:22" x14ac:dyDescent="0.2">
      <c r="A31" s="3" t="s">
        <v>466</v>
      </c>
      <c r="B31" s="3">
        <v>35.19</v>
      </c>
      <c r="C31" s="3">
        <v>49.3</v>
      </c>
      <c r="D31" s="3">
        <v>85.11</v>
      </c>
      <c r="E31" s="4">
        <v>-1061</v>
      </c>
      <c r="F31" s="3">
        <v>-176.59</v>
      </c>
      <c r="G31" s="3">
        <v>16.649999999999999</v>
      </c>
      <c r="H31" s="3">
        <v>-603.29</v>
      </c>
      <c r="I31" s="3">
        <v>320.69</v>
      </c>
      <c r="J31" s="3">
        <v>676.44</v>
      </c>
      <c r="K31" s="4">
        <v>1277</v>
      </c>
      <c r="L31" s="4">
        <v>1162</v>
      </c>
      <c r="M31" s="3">
        <v>931.21</v>
      </c>
      <c r="N31" s="3">
        <v>440.59</v>
      </c>
      <c r="O31" s="3">
        <v>281.55</v>
      </c>
      <c r="P31" s="3">
        <v>10.47</v>
      </c>
      <c r="Q31" s="3">
        <v>-374.43</v>
      </c>
      <c r="R31" s="3">
        <v>446.21</v>
      </c>
      <c r="S31" s="3">
        <v>117.7</v>
      </c>
      <c r="T31" s="3">
        <v>102.18</v>
      </c>
      <c r="U31" s="3">
        <v>117.05</v>
      </c>
      <c r="V31" s="3" t="s">
        <v>63</v>
      </c>
    </row>
    <row r="32" spans="1:22" x14ac:dyDescent="0.2">
      <c r="A32" s="3" t="s">
        <v>467</v>
      </c>
      <c r="B32" s="3">
        <v>-12.3</v>
      </c>
      <c r="C32" s="3">
        <v>-7.95</v>
      </c>
      <c r="D32" s="3">
        <v>-9.82</v>
      </c>
      <c r="E32" s="3">
        <v>-8.35</v>
      </c>
      <c r="F32" s="3">
        <v>-11.6</v>
      </c>
      <c r="G32" s="3">
        <v>-14.2</v>
      </c>
      <c r="H32" s="3">
        <v>-14.39</v>
      </c>
      <c r="I32" s="3">
        <v>-18.16</v>
      </c>
      <c r="J32" s="3">
        <v>-26.4</v>
      </c>
      <c r="K32" s="3">
        <v>-38.119999999999997</v>
      </c>
      <c r="L32" s="3">
        <v>-29.34</v>
      </c>
      <c r="M32" s="3">
        <v>-33.99</v>
      </c>
      <c r="N32" s="3">
        <v>-33.82</v>
      </c>
      <c r="O32" s="3">
        <v>-28.16</v>
      </c>
      <c r="P32" s="3">
        <v>-14.29</v>
      </c>
      <c r="Q32" s="3">
        <v>-18.350000000000001</v>
      </c>
      <c r="R32" s="3">
        <v>-21.61</v>
      </c>
      <c r="S32" s="3">
        <v>-22.02</v>
      </c>
      <c r="T32" s="3">
        <v>-17.54</v>
      </c>
      <c r="U32" s="3">
        <v>-18.739999999999998</v>
      </c>
      <c r="V32" s="3" t="s">
        <v>63</v>
      </c>
    </row>
    <row r="33" spans="1:22" x14ac:dyDescent="0.2">
      <c r="A33" s="3" t="s">
        <v>17</v>
      </c>
      <c r="B33" s="3">
        <v>22.9</v>
      </c>
      <c r="C33" s="3">
        <v>41.35</v>
      </c>
      <c r="D33" s="3">
        <v>75.290000000000006</v>
      </c>
      <c r="E33" s="4">
        <v>-1069</v>
      </c>
      <c r="F33" s="3">
        <v>-188.2</v>
      </c>
      <c r="G33" s="3">
        <v>2.4500000000000002</v>
      </c>
      <c r="H33" s="3">
        <v>-617.67999999999995</v>
      </c>
      <c r="I33" s="3">
        <v>302.52999999999997</v>
      </c>
      <c r="J33" s="3">
        <v>650.04</v>
      </c>
      <c r="K33" s="4">
        <v>1239</v>
      </c>
      <c r="L33" s="4">
        <v>1132</v>
      </c>
      <c r="M33" s="3">
        <v>897.22</v>
      </c>
      <c r="N33" s="3">
        <v>406.77</v>
      </c>
      <c r="O33" s="3">
        <v>253.38</v>
      </c>
      <c r="P33" s="3">
        <v>-3.82</v>
      </c>
      <c r="Q33" s="3">
        <v>-392.78</v>
      </c>
      <c r="R33" s="3">
        <v>424.6</v>
      </c>
      <c r="S33" s="3">
        <v>95.68</v>
      </c>
      <c r="T33" s="3">
        <v>84.64</v>
      </c>
      <c r="U33" s="3">
        <v>98.3</v>
      </c>
      <c r="V33" s="3" t="s">
        <v>63</v>
      </c>
    </row>
    <row r="34" spans="1:22" ht="30" x14ac:dyDescent="0.2">
      <c r="A34" s="3" t="s">
        <v>461</v>
      </c>
      <c r="B34" s="3" t="s">
        <v>12</v>
      </c>
      <c r="C34" s="3">
        <v>41.69</v>
      </c>
      <c r="D34" s="3">
        <v>41.69</v>
      </c>
      <c r="E34" s="3">
        <v>41.69</v>
      </c>
      <c r="F34" s="3">
        <v>41.69</v>
      </c>
      <c r="G34" s="3">
        <v>11.58</v>
      </c>
      <c r="H34" s="3" t="s">
        <v>12</v>
      </c>
      <c r="I34" s="3" t="s">
        <v>12</v>
      </c>
      <c r="J34" s="3" t="s">
        <v>12</v>
      </c>
      <c r="K34" s="3" t="s">
        <v>12</v>
      </c>
      <c r="L34" s="3" t="s">
        <v>12</v>
      </c>
      <c r="M34" s="3" t="s">
        <v>12</v>
      </c>
      <c r="N34" s="3" t="s">
        <v>12</v>
      </c>
      <c r="O34" s="3" t="s">
        <v>12</v>
      </c>
      <c r="P34" s="3" t="s">
        <v>12</v>
      </c>
      <c r="Q34" s="3" t="s">
        <v>12</v>
      </c>
      <c r="R34" s="3" t="s">
        <v>12</v>
      </c>
      <c r="S34" s="3" t="s">
        <v>12</v>
      </c>
      <c r="T34" s="3" t="s">
        <v>12</v>
      </c>
      <c r="U34" s="3" t="s">
        <v>12</v>
      </c>
      <c r="V34" s="3" t="s">
        <v>63</v>
      </c>
    </row>
    <row r="35" spans="1:22" x14ac:dyDescent="0.2">
      <c r="A35" s="3" t="s">
        <v>111</v>
      </c>
      <c r="B35" s="3">
        <v>22.9</v>
      </c>
      <c r="C35" s="3">
        <v>-0.34</v>
      </c>
      <c r="D35" s="3">
        <v>33.61</v>
      </c>
      <c r="E35" s="4">
        <v>-1111</v>
      </c>
      <c r="F35" s="3">
        <v>-229.89</v>
      </c>
      <c r="G35" s="3">
        <v>-9.14</v>
      </c>
      <c r="H35" s="3">
        <v>-617.67999999999995</v>
      </c>
      <c r="I35" s="3">
        <v>302.52999999999997</v>
      </c>
      <c r="J35" s="3">
        <v>650.04</v>
      </c>
      <c r="K35" s="4">
        <v>1239</v>
      </c>
      <c r="L35" s="4">
        <v>1132</v>
      </c>
      <c r="M35" s="3">
        <v>897.22</v>
      </c>
      <c r="N35" s="3">
        <v>406.77</v>
      </c>
      <c r="O35" s="3">
        <v>253.38</v>
      </c>
      <c r="P35" s="3">
        <v>-3.82</v>
      </c>
      <c r="Q35" s="3">
        <v>-392.78</v>
      </c>
      <c r="R35" s="3">
        <v>424.6</v>
      </c>
      <c r="S35" s="3">
        <v>95.68</v>
      </c>
      <c r="T35" s="3">
        <v>84.64</v>
      </c>
      <c r="U35" s="3">
        <v>98.3</v>
      </c>
      <c r="V35" s="3" t="s">
        <v>63</v>
      </c>
    </row>
    <row r="36" spans="1:22" x14ac:dyDescent="0.2">
      <c r="A36" s="3" t="s">
        <v>447</v>
      </c>
      <c r="B36" s="3" t="s">
        <v>12</v>
      </c>
      <c r="C36" s="5">
        <v>15.890499999999999</v>
      </c>
      <c r="D36" s="3" t="s">
        <v>12</v>
      </c>
      <c r="E36" s="3" t="s">
        <v>12</v>
      </c>
      <c r="F36" s="3" t="s">
        <v>12</v>
      </c>
      <c r="G36" s="5">
        <v>-0.998</v>
      </c>
      <c r="H36" s="3" t="s">
        <v>12</v>
      </c>
      <c r="I36" s="5">
        <v>-0.66279999999999994</v>
      </c>
      <c r="J36" s="5">
        <v>0.59799999999999998</v>
      </c>
      <c r="K36" s="5">
        <v>3.8881999999999999</v>
      </c>
      <c r="L36" s="3" t="s">
        <v>12</v>
      </c>
      <c r="M36" s="3" t="s">
        <v>12</v>
      </c>
      <c r="N36" s="5">
        <v>-4.2000000000000003E-2</v>
      </c>
      <c r="O36" s="5">
        <v>1.6483000000000001</v>
      </c>
      <c r="P36" s="3" t="s">
        <v>12</v>
      </c>
      <c r="Q36" s="3" t="s">
        <v>12</v>
      </c>
      <c r="R36" s="5">
        <v>3.9588999999999999</v>
      </c>
      <c r="S36" s="5">
        <v>-0.1075</v>
      </c>
      <c r="T36" s="5">
        <v>-6.3700000000000007E-2</v>
      </c>
      <c r="U36" s="5">
        <v>-0.36609999999999998</v>
      </c>
      <c r="V36" s="3" t="s">
        <v>63</v>
      </c>
    </row>
    <row r="37" spans="1:22" x14ac:dyDescent="0.2">
      <c r="A37" s="3" t="s">
        <v>112</v>
      </c>
      <c r="B37" s="3">
        <v>118</v>
      </c>
      <c r="C37" s="3">
        <v>118</v>
      </c>
      <c r="D37" s="3">
        <v>118</v>
      </c>
      <c r="E37" s="3">
        <v>118</v>
      </c>
      <c r="F37" s="3">
        <v>118</v>
      </c>
      <c r="G37" s="3">
        <v>117</v>
      </c>
      <c r="H37" s="3">
        <v>117</v>
      </c>
      <c r="I37" s="3">
        <v>117</v>
      </c>
      <c r="J37" s="3">
        <v>117</v>
      </c>
      <c r="K37" s="3">
        <v>117</v>
      </c>
      <c r="L37" s="3">
        <v>117</v>
      </c>
      <c r="M37" s="3">
        <v>117</v>
      </c>
      <c r="N37" s="3">
        <v>117</v>
      </c>
      <c r="O37" s="3">
        <v>117</v>
      </c>
      <c r="P37" s="3">
        <v>117</v>
      </c>
      <c r="Q37" s="3">
        <v>117</v>
      </c>
      <c r="R37" s="3">
        <v>117</v>
      </c>
      <c r="S37" s="3">
        <v>113</v>
      </c>
      <c r="T37" s="3">
        <v>107</v>
      </c>
      <c r="U37" s="3">
        <v>106</v>
      </c>
      <c r="V37" s="3" t="s">
        <v>63</v>
      </c>
    </row>
    <row r="38" spans="1:22" x14ac:dyDescent="0.2">
      <c r="A38" s="3" t="s">
        <v>113</v>
      </c>
      <c r="B38" s="3">
        <v>118</v>
      </c>
      <c r="C38" s="3">
        <v>118</v>
      </c>
      <c r="D38" s="3">
        <v>118</v>
      </c>
      <c r="E38" s="3">
        <v>118</v>
      </c>
      <c r="F38" s="3">
        <v>118</v>
      </c>
      <c r="G38" s="3">
        <v>117</v>
      </c>
      <c r="H38" s="3">
        <v>117</v>
      </c>
      <c r="I38" s="3">
        <v>118</v>
      </c>
      <c r="J38" s="3">
        <v>118</v>
      </c>
      <c r="K38" s="3">
        <v>118</v>
      </c>
      <c r="L38" s="3">
        <v>118</v>
      </c>
      <c r="M38" s="3">
        <v>118</v>
      </c>
      <c r="N38" s="3">
        <v>118</v>
      </c>
      <c r="O38" s="3">
        <v>118</v>
      </c>
      <c r="P38" s="3">
        <v>117</v>
      </c>
      <c r="Q38" s="3">
        <v>117</v>
      </c>
      <c r="R38" s="3">
        <v>117</v>
      </c>
      <c r="S38" s="3">
        <v>113</v>
      </c>
      <c r="T38" s="3">
        <v>107</v>
      </c>
      <c r="U38" s="3">
        <v>107</v>
      </c>
      <c r="V38" s="3" t="s">
        <v>63</v>
      </c>
    </row>
    <row r="39" spans="1:22" x14ac:dyDescent="0.2">
      <c r="A39" s="3" t="s">
        <v>190</v>
      </c>
      <c r="B39" s="5">
        <v>1.1999999999999999E-3</v>
      </c>
      <c r="C39" s="5">
        <v>1.2999999999999999E-3</v>
      </c>
      <c r="D39" s="5">
        <v>3.0999999999999999E-3</v>
      </c>
      <c r="E39" s="5">
        <v>-2.0999999999999999E-3</v>
      </c>
      <c r="F39" s="5">
        <v>-2.0999999999999999E-3</v>
      </c>
      <c r="G39" s="5">
        <v>-3.3E-3</v>
      </c>
      <c r="H39" s="5">
        <v>-4.7999999999999996E-3</v>
      </c>
      <c r="I39" s="5">
        <v>-6.9999999999999999E-4</v>
      </c>
      <c r="J39" s="5">
        <v>4.0000000000000002E-4</v>
      </c>
      <c r="K39" s="5">
        <v>1.6000000000000001E-3</v>
      </c>
      <c r="L39" s="5">
        <v>7.9000000000000008E-3</v>
      </c>
      <c r="M39" s="5">
        <v>7.7000000000000002E-3</v>
      </c>
      <c r="N39" s="5">
        <v>2.3999999999999998E-3</v>
      </c>
      <c r="O39" s="5">
        <v>3.8199999999999998E-2</v>
      </c>
      <c r="P39" s="5">
        <v>9.0300000000000005E-2</v>
      </c>
      <c r="Q39" s="5">
        <v>9.4399999999999998E-2</v>
      </c>
      <c r="R39" s="5">
        <v>0.1023</v>
      </c>
      <c r="S39" s="5">
        <v>6.4000000000000001E-2</v>
      </c>
      <c r="T39" s="5">
        <v>9.4000000000000004E-3</v>
      </c>
      <c r="U39" s="5">
        <v>5.4000000000000003E-3</v>
      </c>
      <c r="V39" s="3" t="s">
        <v>63</v>
      </c>
    </row>
    <row r="40" spans="1:22" x14ac:dyDescent="0.2">
      <c r="A40" s="3" t="s">
        <v>33</v>
      </c>
      <c r="B40" s="3">
        <v>0.19</v>
      </c>
      <c r="C40" s="3">
        <v>0</v>
      </c>
      <c r="D40" s="3">
        <v>0.28999999999999998</v>
      </c>
      <c r="E40" s="3">
        <v>-9.4499999999999993</v>
      </c>
      <c r="F40" s="3">
        <v>-1.96</v>
      </c>
      <c r="G40" s="3">
        <v>-0.08</v>
      </c>
      <c r="H40" s="3">
        <v>-5.26</v>
      </c>
      <c r="I40" s="3">
        <v>2.58</v>
      </c>
      <c r="J40" s="3">
        <v>5.54</v>
      </c>
      <c r="K40" s="3">
        <v>10.57</v>
      </c>
      <c r="L40" s="3">
        <v>9.67</v>
      </c>
      <c r="M40" s="3">
        <v>7.66</v>
      </c>
      <c r="N40" s="3">
        <v>3.47</v>
      </c>
      <c r="O40" s="3">
        <v>2.16</v>
      </c>
      <c r="P40" s="3">
        <v>-0.03</v>
      </c>
      <c r="Q40" s="3">
        <v>-3.36</v>
      </c>
      <c r="R40" s="3">
        <v>3.63</v>
      </c>
      <c r="S40" s="3">
        <v>0.85</v>
      </c>
      <c r="T40" s="3">
        <v>0.79</v>
      </c>
      <c r="U40" s="3">
        <v>0.92</v>
      </c>
      <c r="V40" s="3" t="s">
        <v>63</v>
      </c>
    </row>
    <row r="41" spans="1:22" x14ac:dyDescent="0.2">
      <c r="A41" s="3" t="s">
        <v>34</v>
      </c>
      <c r="B41" s="3">
        <v>0.19</v>
      </c>
      <c r="C41" s="3">
        <v>0</v>
      </c>
      <c r="D41" s="3">
        <v>0.28999999999999998</v>
      </c>
      <c r="E41" s="3">
        <v>-9.4499999999999993</v>
      </c>
      <c r="F41" s="3">
        <v>-1.96</v>
      </c>
      <c r="G41" s="3">
        <v>-0.08</v>
      </c>
      <c r="H41" s="3">
        <v>-5.26</v>
      </c>
      <c r="I41" s="3">
        <v>2.57</v>
      </c>
      <c r="J41" s="3">
        <v>5.52</v>
      </c>
      <c r="K41" s="3">
        <v>10.51</v>
      </c>
      <c r="L41" s="3">
        <v>9.6</v>
      </c>
      <c r="M41" s="3">
        <v>7.61</v>
      </c>
      <c r="N41" s="3">
        <v>3.46</v>
      </c>
      <c r="O41" s="3">
        <v>2.15</v>
      </c>
      <c r="P41" s="3">
        <v>-0.04</v>
      </c>
      <c r="Q41" s="3">
        <v>-3.36</v>
      </c>
      <c r="R41" s="3">
        <v>3.62</v>
      </c>
      <c r="S41" s="3">
        <v>0.84</v>
      </c>
      <c r="T41" s="3">
        <v>0.79</v>
      </c>
      <c r="U41" s="3">
        <v>0.92</v>
      </c>
      <c r="V41" s="3" t="s">
        <v>63</v>
      </c>
    </row>
    <row r="42" spans="1:22" x14ac:dyDescent="0.2">
      <c r="A42" s="3" t="s">
        <v>64</v>
      </c>
      <c r="B42" s="3" t="s">
        <v>12</v>
      </c>
      <c r="C42" s="3" t="s">
        <v>12</v>
      </c>
      <c r="D42" s="3" t="s">
        <v>12</v>
      </c>
      <c r="E42" s="3" t="s">
        <v>12</v>
      </c>
      <c r="F42" s="3" t="s">
        <v>12</v>
      </c>
      <c r="G42" s="3" t="s">
        <v>12</v>
      </c>
      <c r="H42" s="3" t="s">
        <v>12</v>
      </c>
      <c r="I42" s="5">
        <v>-0.6623</v>
      </c>
      <c r="J42" s="5">
        <v>0.59540000000000004</v>
      </c>
      <c r="K42" s="5">
        <v>3.8883999999999999</v>
      </c>
      <c r="L42" s="3" t="s">
        <v>12</v>
      </c>
      <c r="M42" s="3" t="s">
        <v>12</v>
      </c>
      <c r="N42" s="5">
        <v>-4.4200000000000003E-2</v>
      </c>
      <c r="O42" s="5">
        <v>1.5595000000000001</v>
      </c>
      <c r="P42" s="3" t="s">
        <v>12</v>
      </c>
      <c r="Q42" s="3" t="s">
        <v>12</v>
      </c>
      <c r="R42" s="5">
        <v>3.5249999999999999</v>
      </c>
      <c r="S42" s="5">
        <v>-0.16769999999999999</v>
      </c>
      <c r="T42" s="5">
        <v>-7.2599999999999998E-2</v>
      </c>
      <c r="U42" s="5">
        <v>-0.36990000000000001</v>
      </c>
      <c r="V42" s="3" t="s">
        <v>63</v>
      </c>
    </row>
    <row r="43" spans="1:22" x14ac:dyDescent="0.2">
      <c r="A43" s="3" t="s">
        <v>6</v>
      </c>
      <c r="B43" s="3">
        <v>-126.83</v>
      </c>
      <c r="C43" s="3">
        <v>362.76</v>
      </c>
      <c r="D43" s="3">
        <v>-355.05</v>
      </c>
      <c r="E43" s="3">
        <v>-62.58</v>
      </c>
      <c r="F43" s="3">
        <v>-84.72</v>
      </c>
      <c r="G43" s="3">
        <v>-481.37</v>
      </c>
      <c r="H43" s="3">
        <v>-782.31</v>
      </c>
      <c r="I43" s="3">
        <v>82.96</v>
      </c>
      <c r="J43" s="3">
        <v>-429.98</v>
      </c>
      <c r="K43" s="3">
        <v>305.37</v>
      </c>
      <c r="L43" s="3">
        <v>506.54</v>
      </c>
      <c r="M43" s="3">
        <v>581.96</v>
      </c>
      <c r="N43" s="3">
        <v>-416.77</v>
      </c>
      <c r="O43" s="3">
        <v>-25.52</v>
      </c>
      <c r="P43" s="3">
        <v>-447.26</v>
      </c>
      <c r="Q43" s="3">
        <v>-151.09</v>
      </c>
      <c r="R43" s="3">
        <v>10.67</v>
      </c>
      <c r="S43" s="3">
        <v>-21.73</v>
      </c>
      <c r="T43" s="3">
        <v>108.09</v>
      </c>
      <c r="U43" s="3">
        <v>51.42</v>
      </c>
      <c r="V43" s="3" t="s">
        <v>63</v>
      </c>
    </row>
    <row r="44" spans="1:22" x14ac:dyDescent="0.2">
      <c r="A44" s="3" t="s">
        <v>18</v>
      </c>
      <c r="B44" s="3">
        <v>-1.08</v>
      </c>
      <c r="C44" s="3">
        <v>3.08</v>
      </c>
      <c r="D44" s="3">
        <v>-3.02</v>
      </c>
      <c r="E44" s="3">
        <v>-0.53</v>
      </c>
      <c r="F44" s="3">
        <v>-0.72</v>
      </c>
      <c r="G44" s="3">
        <v>-4.0999999999999996</v>
      </c>
      <c r="H44" s="3">
        <v>-6.67</v>
      </c>
      <c r="I44" s="3">
        <v>0.7</v>
      </c>
      <c r="J44" s="3">
        <v>-3.65</v>
      </c>
      <c r="K44" s="3">
        <v>2.59</v>
      </c>
      <c r="L44" s="3">
        <v>4.29</v>
      </c>
      <c r="M44" s="3">
        <v>4.9400000000000004</v>
      </c>
      <c r="N44" s="3">
        <v>-3.54</v>
      </c>
      <c r="O44" s="3">
        <v>-0.22</v>
      </c>
      <c r="P44" s="3">
        <v>-3.82</v>
      </c>
      <c r="Q44" s="3">
        <v>-1.29</v>
      </c>
      <c r="R44" s="3">
        <v>0.09</v>
      </c>
      <c r="S44" s="3">
        <v>-0.19</v>
      </c>
      <c r="T44" s="3">
        <v>1.01</v>
      </c>
      <c r="U44" s="3">
        <v>0.48</v>
      </c>
      <c r="V44" s="3" t="s">
        <v>63</v>
      </c>
    </row>
    <row r="45" spans="1:22" x14ac:dyDescent="0.2">
      <c r="A45" s="3" t="s">
        <v>35</v>
      </c>
      <c r="B45" s="3" t="s">
        <v>12</v>
      </c>
      <c r="C45" s="3">
        <v>0.40500000000000003</v>
      </c>
      <c r="D45" s="3">
        <v>0.40500000000000003</v>
      </c>
      <c r="E45" s="3">
        <v>0.40500000000000003</v>
      </c>
      <c r="F45" s="3">
        <v>0.4</v>
      </c>
      <c r="G45" s="3">
        <v>0.4</v>
      </c>
      <c r="H45" s="3">
        <v>0.4</v>
      </c>
      <c r="I45" s="3">
        <v>0.4</v>
      </c>
      <c r="J45" s="3">
        <v>0.4</v>
      </c>
      <c r="K45" s="3">
        <v>0.4</v>
      </c>
      <c r="L45" s="3">
        <v>0.39500000000000002</v>
      </c>
      <c r="M45" s="3">
        <v>0.39500000000000002</v>
      </c>
      <c r="N45" s="3">
        <v>0.39500000000000002</v>
      </c>
      <c r="O45" s="3">
        <v>0.39500000000000002</v>
      </c>
      <c r="P45" s="3">
        <v>0.39</v>
      </c>
      <c r="Q45" s="3">
        <v>0.39</v>
      </c>
      <c r="R45" s="3">
        <v>0.39</v>
      </c>
      <c r="S45" s="3">
        <v>0.39</v>
      </c>
      <c r="T45" s="3">
        <v>0.38500000000000001</v>
      </c>
      <c r="U45" s="3">
        <v>0.38500000000000001</v>
      </c>
      <c r="V45" s="3" t="s">
        <v>63</v>
      </c>
    </row>
    <row r="46" spans="1:22" x14ac:dyDescent="0.2">
      <c r="A46" s="3" t="s">
        <v>451</v>
      </c>
      <c r="B46" s="3" t="s">
        <v>12</v>
      </c>
      <c r="C46" s="5">
        <v>1.2500000000000001E-2</v>
      </c>
      <c r="D46" s="5">
        <v>1.2500000000000001E-2</v>
      </c>
      <c r="E46" s="5">
        <v>1.2500000000000001E-2</v>
      </c>
      <c r="F46" s="3" t="s">
        <v>12</v>
      </c>
      <c r="G46" s="3" t="s">
        <v>12</v>
      </c>
      <c r="H46" s="5">
        <v>1.2699999999999999E-2</v>
      </c>
      <c r="I46" s="5">
        <v>1.2699999999999999E-2</v>
      </c>
      <c r="J46" s="5">
        <v>1.2699999999999999E-2</v>
      </c>
      <c r="K46" s="5">
        <v>1.2699999999999999E-2</v>
      </c>
      <c r="L46" s="5">
        <v>1.2800000000000001E-2</v>
      </c>
      <c r="M46" s="5">
        <v>1.2800000000000001E-2</v>
      </c>
      <c r="N46" s="5">
        <v>1.2800000000000001E-2</v>
      </c>
      <c r="O46" s="5">
        <v>1.2800000000000001E-2</v>
      </c>
      <c r="P46" s="5">
        <v>1.2999999999999999E-2</v>
      </c>
      <c r="Q46" s="5">
        <v>1.2999999999999999E-2</v>
      </c>
      <c r="R46" s="5">
        <v>1.2999999999999999E-2</v>
      </c>
      <c r="S46" s="5">
        <v>1.2999999999999999E-2</v>
      </c>
      <c r="T46" s="5">
        <v>4.7600000000000003E-2</v>
      </c>
      <c r="U46" s="5">
        <v>4.7600000000000003E-2</v>
      </c>
      <c r="V46" s="3" t="s">
        <v>63</v>
      </c>
    </row>
    <row r="47" spans="1:22" x14ac:dyDescent="0.2">
      <c r="A47" s="3" t="s">
        <v>36</v>
      </c>
      <c r="B47" s="5">
        <v>0.14799999999999999</v>
      </c>
      <c r="C47" s="5">
        <v>0.14510000000000001</v>
      </c>
      <c r="D47" s="5">
        <v>0.1298</v>
      </c>
      <c r="E47" s="5">
        <v>-7.6799999999999993E-2</v>
      </c>
      <c r="F47" s="5">
        <v>-7.4000000000000003E-3</v>
      </c>
      <c r="G47" s="5">
        <v>2.9600000000000001E-2</v>
      </c>
      <c r="H47" s="5">
        <v>-0.29409999999999997</v>
      </c>
      <c r="I47" s="5">
        <v>2.3800000000000002E-2</v>
      </c>
      <c r="J47" s="5">
        <v>0.2356</v>
      </c>
      <c r="K47" s="5">
        <v>0.49469999999999997</v>
      </c>
      <c r="L47" s="5">
        <v>0.38200000000000001</v>
      </c>
      <c r="M47" s="5">
        <v>0.50029999999999997</v>
      </c>
      <c r="N47" s="5">
        <v>0.3926</v>
      </c>
      <c r="O47" s="5">
        <v>0.3982</v>
      </c>
      <c r="P47" s="5">
        <v>0.27629999999999999</v>
      </c>
      <c r="Q47" s="5">
        <v>0.30009999999999998</v>
      </c>
      <c r="R47" s="5">
        <v>0.32100000000000001</v>
      </c>
      <c r="S47" s="5">
        <v>0.318</v>
      </c>
      <c r="T47" s="5">
        <v>0.3034</v>
      </c>
      <c r="U47" s="5">
        <v>0.3402</v>
      </c>
      <c r="V47" s="3" t="s">
        <v>63</v>
      </c>
    </row>
    <row r="48" spans="1:22" x14ac:dyDescent="0.2">
      <c r="A48" s="3" t="s">
        <v>37</v>
      </c>
      <c r="B48" s="5">
        <v>3.9100000000000003E-2</v>
      </c>
      <c r="C48" s="5">
        <v>1.9E-2</v>
      </c>
      <c r="D48" s="5">
        <v>1.77E-2</v>
      </c>
      <c r="E48" s="5">
        <v>-0.20660000000000001</v>
      </c>
      <c r="F48" s="5">
        <v>-0.13689999999999999</v>
      </c>
      <c r="G48" s="5">
        <v>-0.1045</v>
      </c>
      <c r="H48" s="5">
        <v>-0.37569999999999998</v>
      </c>
      <c r="I48" s="5">
        <v>-5.5500000000000001E-2</v>
      </c>
      <c r="J48" s="5">
        <v>0.15740000000000001</v>
      </c>
      <c r="K48" s="5">
        <v>0.42899999999999999</v>
      </c>
      <c r="L48" s="5">
        <v>0.33779999999999999</v>
      </c>
      <c r="M48" s="5">
        <v>0.43219999999999997</v>
      </c>
      <c r="N48" s="5">
        <v>0.30149999999999999</v>
      </c>
      <c r="O48" s="5">
        <v>0.2903</v>
      </c>
      <c r="P48" s="5">
        <v>0.20760000000000001</v>
      </c>
      <c r="Q48" s="5">
        <v>0.16889999999999999</v>
      </c>
      <c r="R48" s="5">
        <v>0.15640000000000001</v>
      </c>
      <c r="S48" s="5">
        <v>0.1971</v>
      </c>
      <c r="T48" s="5">
        <v>0.10879999999999999</v>
      </c>
      <c r="U48" s="5">
        <v>0.2082</v>
      </c>
      <c r="V48" s="3" t="s">
        <v>63</v>
      </c>
    </row>
    <row r="49" spans="1:22" x14ac:dyDescent="0.2">
      <c r="A49" s="3" t="s">
        <v>38</v>
      </c>
      <c r="B49" s="5">
        <v>1.72E-2</v>
      </c>
      <c r="C49" s="5">
        <v>-2.9999999999999997E-4</v>
      </c>
      <c r="D49" s="5">
        <v>2.7300000000000001E-2</v>
      </c>
      <c r="E49" s="5">
        <v>-0.81989999999999996</v>
      </c>
      <c r="F49" s="5">
        <v>-0.16070000000000001</v>
      </c>
      <c r="G49" s="5">
        <v>-6.7000000000000002E-3</v>
      </c>
      <c r="H49" s="5">
        <v>-0.2621</v>
      </c>
      <c r="I49" s="5">
        <v>0.13089999999999999</v>
      </c>
      <c r="J49" s="5">
        <v>0.27429999999999999</v>
      </c>
      <c r="K49" s="5">
        <v>0.48</v>
      </c>
      <c r="L49" s="5">
        <v>0.43209999999999998</v>
      </c>
      <c r="M49" s="5">
        <v>0.4289</v>
      </c>
      <c r="N49" s="5">
        <v>0.27489999999999998</v>
      </c>
      <c r="O49" s="5">
        <v>0.22470000000000001</v>
      </c>
      <c r="P49" s="5">
        <v>-4.3E-3</v>
      </c>
      <c r="Q49" s="5">
        <v>-0.47289999999999999</v>
      </c>
      <c r="R49" s="5">
        <v>0.54859999999999998</v>
      </c>
      <c r="S49" s="5">
        <v>0.1154</v>
      </c>
      <c r="T49" s="5">
        <v>9.6299999999999997E-2</v>
      </c>
      <c r="U49" s="5">
        <v>0.13159999999999999</v>
      </c>
      <c r="V49" s="3" t="s">
        <v>63</v>
      </c>
    </row>
    <row r="50" spans="1:22" x14ac:dyDescent="0.2">
      <c r="A50" s="3" t="s">
        <v>114</v>
      </c>
      <c r="B50" s="5">
        <v>-9.5399999999999999E-2</v>
      </c>
      <c r="C50" s="5">
        <v>0.33689999999999998</v>
      </c>
      <c r="D50" s="5">
        <v>-0.2883</v>
      </c>
      <c r="E50" s="5">
        <v>-4.6199999999999998E-2</v>
      </c>
      <c r="F50" s="5">
        <v>-5.9200000000000003E-2</v>
      </c>
      <c r="G50" s="5">
        <v>-0.3538</v>
      </c>
      <c r="H50" s="5">
        <v>-0.33200000000000002</v>
      </c>
      <c r="I50" s="5">
        <v>3.5900000000000001E-2</v>
      </c>
      <c r="J50" s="5">
        <v>-0.18140000000000001</v>
      </c>
      <c r="K50" s="5">
        <v>0.1183</v>
      </c>
      <c r="L50" s="5">
        <v>0.1933</v>
      </c>
      <c r="M50" s="5">
        <v>0.2782</v>
      </c>
      <c r="N50" s="5">
        <v>-0.28170000000000001</v>
      </c>
      <c r="O50" s="5">
        <v>-2.2599999999999999E-2</v>
      </c>
      <c r="P50" s="5">
        <v>-0.50019999999999998</v>
      </c>
      <c r="Q50" s="5">
        <v>-0.18190000000000001</v>
      </c>
      <c r="R50" s="5">
        <v>1.38E-2</v>
      </c>
      <c r="S50" s="5">
        <v>-2.6200000000000001E-2</v>
      </c>
      <c r="T50" s="5">
        <v>0.1229</v>
      </c>
      <c r="U50" s="5">
        <v>6.88E-2</v>
      </c>
      <c r="V50" s="3" t="s">
        <v>63</v>
      </c>
    </row>
    <row r="51" spans="1:22" x14ac:dyDescent="0.2">
      <c r="A51" s="3" t="s">
        <v>2</v>
      </c>
      <c r="B51" s="3">
        <v>220.71</v>
      </c>
      <c r="C51" s="3">
        <v>182.2</v>
      </c>
      <c r="D51" s="3">
        <v>184.92</v>
      </c>
      <c r="E51" s="3">
        <v>-116.33</v>
      </c>
      <c r="F51" s="3">
        <v>-57.59</v>
      </c>
      <c r="G51" s="3">
        <v>-18.510000000000002</v>
      </c>
      <c r="H51" s="3">
        <v>-741.06</v>
      </c>
      <c r="I51" s="3">
        <v>-22.71</v>
      </c>
      <c r="J51" s="3">
        <v>466.2</v>
      </c>
      <c r="K51" s="4">
        <v>1194</v>
      </c>
      <c r="L51" s="3">
        <v>970.95</v>
      </c>
      <c r="M51" s="3">
        <v>981.84</v>
      </c>
      <c r="N51" s="3">
        <v>517.08000000000004</v>
      </c>
      <c r="O51" s="3">
        <v>393.93</v>
      </c>
      <c r="P51" s="3">
        <v>253.86</v>
      </c>
      <c r="Q51" s="3">
        <v>202.34</v>
      </c>
      <c r="R51" s="3">
        <v>182.47</v>
      </c>
      <c r="S51" s="3">
        <v>225.72</v>
      </c>
      <c r="T51" s="3">
        <v>157.44</v>
      </c>
      <c r="U51" s="3">
        <v>214.18</v>
      </c>
      <c r="V51" s="3" t="s">
        <v>63</v>
      </c>
    </row>
    <row r="52" spans="1:22" x14ac:dyDescent="0.2">
      <c r="A52" s="3" t="s">
        <v>115</v>
      </c>
      <c r="B52" s="5">
        <v>0.16589999999999999</v>
      </c>
      <c r="C52" s="5">
        <v>0.16919999999999999</v>
      </c>
      <c r="D52" s="5">
        <v>0.15010000000000001</v>
      </c>
      <c r="E52" s="5">
        <v>-8.5900000000000004E-2</v>
      </c>
      <c r="F52" s="5">
        <v>-4.0300000000000002E-2</v>
      </c>
      <c r="G52" s="5">
        <v>-1.3599999999999999E-2</v>
      </c>
      <c r="H52" s="5">
        <v>-0.3145</v>
      </c>
      <c r="I52" s="5">
        <v>-9.7999999999999997E-3</v>
      </c>
      <c r="J52" s="5">
        <v>0.19670000000000001</v>
      </c>
      <c r="K52" s="5">
        <v>0.46279999999999999</v>
      </c>
      <c r="L52" s="5">
        <v>0.3705</v>
      </c>
      <c r="M52" s="5">
        <v>0.46939999999999998</v>
      </c>
      <c r="N52" s="5">
        <v>0.34949999999999998</v>
      </c>
      <c r="O52" s="5">
        <v>0.3493</v>
      </c>
      <c r="P52" s="5">
        <v>0.28389999999999999</v>
      </c>
      <c r="Q52" s="5">
        <v>0.24360000000000001</v>
      </c>
      <c r="R52" s="5">
        <v>0.23580000000000001</v>
      </c>
      <c r="S52" s="5">
        <v>0.2722</v>
      </c>
      <c r="T52" s="5">
        <v>0.17910000000000001</v>
      </c>
      <c r="U52" s="5">
        <v>0.2868</v>
      </c>
      <c r="V52" s="3" t="s">
        <v>63</v>
      </c>
    </row>
    <row r="53" spans="1:22" x14ac:dyDescent="0.2">
      <c r="A53" s="3" t="s">
        <v>116</v>
      </c>
      <c r="B53" s="3">
        <v>168.73</v>
      </c>
      <c r="C53" s="3">
        <v>161.75</v>
      </c>
      <c r="D53" s="3">
        <v>163.11000000000001</v>
      </c>
      <c r="E53" s="3">
        <v>163.5</v>
      </c>
      <c r="F53" s="3">
        <v>138.28</v>
      </c>
      <c r="G53" s="3">
        <v>123.75</v>
      </c>
      <c r="H53" s="3">
        <v>144.13999999999999</v>
      </c>
      <c r="I53" s="3">
        <v>105.45</v>
      </c>
      <c r="J53" s="3">
        <v>93.09</v>
      </c>
      <c r="K53" s="3">
        <v>87.27</v>
      </c>
      <c r="L53" s="3">
        <v>85.56</v>
      </c>
      <c r="M53" s="3">
        <v>77.709999999999994</v>
      </c>
      <c r="N53" s="3">
        <v>70.989999999999995</v>
      </c>
      <c r="O53" s="3">
        <v>66.569999999999993</v>
      </c>
      <c r="P53" s="3">
        <v>68.239999999999995</v>
      </c>
      <c r="Q53" s="3">
        <v>62.08</v>
      </c>
      <c r="R53" s="3">
        <v>61.42</v>
      </c>
      <c r="S53" s="3">
        <v>62.26</v>
      </c>
      <c r="T53" s="3">
        <v>61.77</v>
      </c>
      <c r="U53" s="3">
        <v>58.68</v>
      </c>
      <c r="V53" s="3" t="s">
        <v>63</v>
      </c>
    </row>
    <row r="54" spans="1:22" x14ac:dyDescent="0.2">
      <c r="A54" s="3" t="s">
        <v>3</v>
      </c>
      <c r="B54" s="3">
        <v>51.98</v>
      </c>
      <c r="C54" s="3">
        <v>20.440000000000001</v>
      </c>
      <c r="D54" s="3">
        <v>21.81</v>
      </c>
      <c r="E54" s="3">
        <v>-279.83</v>
      </c>
      <c r="F54" s="3">
        <v>-195.87</v>
      </c>
      <c r="G54" s="3">
        <v>-142.26</v>
      </c>
      <c r="H54" s="3">
        <v>-885.2</v>
      </c>
      <c r="I54" s="3">
        <v>-128.15</v>
      </c>
      <c r="J54" s="3">
        <v>373.12</v>
      </c>
      <c r="K54" s="4">
        <v>1107</v>
      </c>
      <c r="L54" s="3">
        <v>885.39</v>
      </c>
      <c r="M54" s="3">
        <v>904.13</v>
      </c>
      <c r="N54" s="3">
        <v>446.09</v>
      </c>
      <c r="O54" s="3">
        <v>327.36</v>
      </c>
      <c r="P54" s="3">
        <v>185.62</v>
      </c>
      <c r="Q54" s="3">
        <v>140.26</v>
      </c>
      <c r="R54" s="3">
        <v>121.05</v>
      </c>
      <c r="S54" s="3">
        <v>163.46</v>
      </c>
      <c r="T54" s="3">
        <v>95.67</v>
      </c>
      <c r="U54" s="3">
        <v>155.5</v>
      </c>
      <c r="V54" s="3" t="s">
        <v>63</v>
      </c>
    </row>
    <row r="55" spans="1:22" x14ac:dyDescent="0.2">
      <c r="A55" s="3" t="s">
        <v>117</v>
      </c>
      <c r="B55" s="5">
        <v>3.9100000000000003E-2</v>
      </c>
      <c r="C55" s="5">
        <v>1.9E-2</v>
      </c>
      <c r="D55" s="5">
        <v>1.77E-2</v>
      </c>
      <c r="E55" s="5">
        <v>-0.20660000000000001</v>
      </c>
      <c r="F55" s="5">
        <v>-0.13689999999999999</v>
      </c>
      <c r="G55" s="5">
        <v>-0.1045</v>
      </c>
      <c r="H55" s="5">
        <v>-0.37569999999999998</v>
      </c>
      <c r="I55" s="5">
        <v>-5.5500000000000001E-2</v>
      </c>
      <c r="J55" s="5">
        <v>0.15740000000000001</v>
      </c>
      <c r="K55" s="5">
        <v>0.42899999999999999</v>
      </c>
      <c r="L55" s="5">
        <v>0.33779999999999999</v>
      </c>
      <c r="M55" s="5">
        <v>0.43219999999999997</v>
      </c>
      <c r="N55" s="5">
        <v>0.30149999999999999</v>
      </c>
      <c r="O55" s="5">
        <v>0.2903</v>
      </c>
      <c r="P55" s="5">
        <v>0.20760000000000001</v>
      </c>
      <c r="Q55" s="5">
        <v>0.16889999999999999</v>
      </c>
      <c r="R55" s="5">
        <v>0.15640000000000001</v>
      </c>
      <c r="S55" s="5">
        <v>0.1971</v>
      </c>
      <c r="T55" s="5">
        <v>0.10879999999999999</v>
      </c>
      <c r="U55" s="5">
        <v>0.2082</v>
      </c>
      <c r="V55" s="3" t="s">
        <v>63</v>
      </c>
    </row>
    <row r="56" spans="1:22" x14ac:dyDescent="0.2">
      <c r="A56" s="1" t="s">
        <v>97</v>
      </c>
      <c r="B56" s="72" t="s">
        <v>446</v>
      </c>
      <c r="C56" s="1" t="s">
        <v>396</v>
      </c>
      <c r="D56" s="72" t="s">
        <v>98</v>
      </c>
      <c r="E56" s="1" t="s">
        <v>99</v>
      </c>
      <c r="F56" s="1" t="s">
        <v>177</v>
      </c>
      <c r="G56" s="1" t="s">
        <v>178</v>
      </c>
      <c r="H56" s="1" t="s">
        <v>100</v>
      </c>
      <c r="I56" s="1" t="s">
        <v>179</v>
      </c>
      <c r="J56" s="72" t="s">
        <v>180</v>
      </c>
      <c r="K56" s="72" t="s">
        <v>181</v>
      </c>
      <c r="L56" s="72" t="s">
        <v>101</v>
      </c>
      <c r="M56" s="72" t="s">
        <v>182</v>
      </c>
      <c r="N56" s="72" t="s">
        <v>183</v>
      </c>
      <c r="O56" s="72" t="s">
        <v>184</v>
      </c>
      <c r="P56" s="72" t="s">
        <v>102</v>
      </c>
      <c r="Q56" s="1" t="s">
        <v>185</v>
      </c>
      <c r="R56" s="72" t="s">
        <v>186</v>
      </c>
      <c r="S56" s="72" t="s">
        <v>187</v>
      </c>
      <c r="T56" s="1" t="s">
        <v>459</v>
      </c>
      <c r="U56" s="72" t="s">
        <v>462</v>
      </c>
      <c r="V56" s="1" t="s">
        <v>439</v>
      </c>
    </row>
    <row r="57" spans="1:22" ht="30" x14ac:dyDescent="0.2">
      <c r="A57" s="1" t="s">
        <v>10</v>
      </c>
      <c r="B57" s="1" t="s">
        <v>484</v>
      </c>
      <c r="C57" s="1" t="s">
        <v>397</v>
      </c>
      <c r="D57" s="1" t="s">
        <v>379</v>
      </c>
      <c r="E57" s="1" t="s">
        <v>380</v>
      </c>
      <c r="F57" s="1" t="s">
        <v>372</v>
      </c>
      <c r="G57" s="1" t="s">
        <v>373</v>
      </c>
      <c r="H57" s="1" t="s">
        <v>371</v>
      </c>
      <c r="I57" s="1" t="s">
        <v>381</v>
      </c>
      <c r="J57" s="1" t="s">
        <v>375</v>
      </c>
      <c r="K57" s="1" t="s">
        <v>382</v>
      </c>
      <c r="L57" s="1" t="s">
        <v>383</v>
      </c>
      <c r="M57" s="1" t="s">
        <v>384</v>
      </c>
      <c r="N57" s="1" t="s">
        <v>376</v>
      </c>
      <c r="O57" s="1" t="s">
        <v>385</v>
      </c>
      <c r="P57" s="1" t="s">
        <v>386</v>
      </c>
      <c r="Q57" s="1" t="s">
        <v>387</v>
      </c>
      <c r="R57" s="1" t="s">
        <v>377</v>
      </c>
      <c r="S57" s="1" t="s">
        <v>388</v>
      </c>
      <c r="T57" s="1" t="s">
        <v>389</v>
      </c>
      <c r="U57" s="1" t="s">
        <v>390</v>
      </c>
      <c r="V57" s="1" t="s">
        <v>439</v>
      </c>
    </row>
    <row r="58" spans="1:22" x14ac:dyDescent="0.2">
      <c r="A58" s="3" t="s">
        <v>11</v>
      </c>
      <c r="B58" s="4">
        <v>1807</v>
      </c>
      <c r="C58" s="4">
        <v>1519</v>
      </c>
      <c r="D58" s="4">
        <v>1192</v>
      </c>
      <c r="E58" s="4">
        <v>1665</v>
      </c>
      <c r="F58" s="4">
        <v>1830</v>
      </c>
      <c r="G58" s="4">
        <v>2056</v>
      </c>
      <c r="H58" s="3">
        <v>889.9</v>
      </c>
      <c r="I58" s="4">
        <v>1602</v>
      </c>
      <c r="J58" s="4">
        <v>1600</v>
      </c>
      <c r="K58" s="4">
        <v>1587</v>
      </c>
      <c r="L58" s="4">
        <v>1499</v>
      </c>
      <c r="M58" s="4">
        <v>1383</v>
      </c>
      <c r="N58" s="3">
        <v>930.6</v>
      </c>
      <c r="O58" s="3">
        <v>463.33</v>
      </c>
      <c r="P58" s="3">
        <v>439.27</v>
      </c>
      <c r="Q58" s="3">
        <v>595.04999999999995</v>
      </c>
      <c r="R58" s="3">
        <v>823.57</v>
      </c>
      <c r="S58" s="3">
        <v>569.86</v>
      </c>
      <c r="T58" s="3">
        <v>746.72</v>
      </c>
      <c r="U58" s="3">
        <v>702.07</v>
      </c>
      <c r="V58" s="3" t="s">
        <v>63</v>
      </c>
    </row>
    <row r="59" spans="1:22" x14ac:dyDescent="0.2">
      <c r="A59" s="3" t="s">
        <v>119</v>
      </c>
      <c r="B59" s="4">
        <v>1807</v>
      </c>
      <c r="C59" s="4">
        <v>1519</v>
      </c>
      <c r="D59" s="4">
        <v>1192</v>
      </c>
      <c r="E59" s="4">
        <v>1665</v>
      </c>
      <c r="F59" s="4">
        <v>1830</v>
      </c>
      <c r="G59" s="4">
        <v>2056</v>
      </c>
      <c r="H59" s="3">
        <v>889.9</v>
      </c>
      <c r="I59" s="4">
        <v>1602</v>
      </c>
      <c r="J59" s="4">
        <v>1600</v>
      </c>
      <c r="K59" s="4">
        <v>1587</v>
      </c>
      <c r="L59" s="4">
        <v>1499</v>
      </c>
      <c r="M59" s="4">
        <v>1383</v>
      </c>
      <c r="N59" s="3">
        <v>930.6</v>
      </c>
      <c r="O59" s="3">
        <v>463.33</v>
      </c>
      <c r="P59" s="3">
        <v>439.27</v>
      </c>
      <c r="Q59" s="3">
        <v>595.04999999999995</v>
      </c>
      <c r="R59" s="3">
        <v>823.57</v>
      </c>
      <c r="S59" s="3">
        <v>569.86</v>
      </c>
      <c r="T59" s="3">
        <v>746.72</v>
      </c>
      <c r="U59" s="3">
        <v>702.07</v>
      </c>
      <c r="V59" s="3" t="s">
        <v>63</v>
      </c>
    </row>
    <row r="60" spans="1:22" x14ac:dyDescent="0.2">
      <c r="A60" s="3" t="s">
        <v>191</v>
      </c>
      <c r="B60" s="5">
        <v>-1.2800000000000001E-2</v>
      </c>
      <c r="C60" s="5">
        <v>-0.26140000000000002</v>
      </c>
      <c r="D60" s="5">
        <v>0.3397</v>
      </c>
      <c r="E60" s="5">
        <v>3.9199999999999999E-2</v>
      </c>
      <c r="F60" s="5">
        <v>0.14410000000000001</v>
      </c>
      <c r="G60" s="5">
        <v>0.29559999999999997</v>
      </c>
      <c r="H60" s="5">
        <v>-0.40639999999999998</v>
      </c>
      <c r="I60" s="5">
        <v>0.1583</v>
      </c>
      <c r="J60" s="5">
        <v>0.71909999999999996</v>
      </c>
      <c r="K60" s="5">
        <v>2.4247000000000001</v>
      </c>
      <c r="L60" s="5">
        <v>2.4127999999999998</v>
      </c>
      <c r="M60" s="5">
        <v>1.3238000000000001</v>
      </c>
      <c r="N60" s="5">
        <v>0.13</v>
      </c>
      <c r="O60" s="5">
        <v>-0.187</v>
      </c>
      <c r="P60" s="5">
        <v>-0.41170000000000001</v>
      </c>
      <c r="Q60" s="5">
        <v>-0.15240000000000001</v>
      </c>
      <c r="R60" s="5">
        <v>0.1179</v>
      </c>
      <c r="S60" s="5">
        <v>3.0099999999999998E-2</v>
      </c>
      <c r="T60" s="5">
        <v>0.21790000000000001</v>
      </c>
      <c r="U60" s="5">
        <v>1.2090000000000001</v>
      </c>
      <c r="V60" s="3" t="s">
        <v>63</v>
      </c>
    </row>
    <row r="61" spans="1:22" x14ac:dyDescent="0.2">
      <c r="A61" s="3" t="s">
        <v>269</v>
      </c>
      <c r="B61" s="3">
        <v>766.43</v>
      </c>
      <c r="C61" s="3">
        <v>670.78</v>
      </c>
      <c r="D61" s="3">
        <v>742.2</v>
      </c>
      <c r="E61" s="3">
        <v>749.79</v>
      </c>
      <c r="F61" s="3">
        <v>785.55</v>
      </c>
      <c r="G61" s="3">
        <v>874.04</v>
      </c>
      <c r="H61" s="4">
        <v>1213</v>
      </c>
      <c r="I61" s="4">
        <v>1179</v>
      </c>
      <c r="J61" s="4">
        <v>1344</v>
      </c>
      <c r="K61" s="4">
        <v>1352</v>
      </c>
      <c r="L61" s="4">
        <v>1191</v>
      </c>
      <c r="M61" s="4">
        <v>1035</v>
      </c>
      <c r="N61" s="3">
        <v>962.22</v>
      </c>
      <c r="O61" s="3">
        <v>658.73</v>
      </c>
      <c r="P61" s="3">
        <v>556.91999999999996</v>
      </c>
      <c r="Q61" s="3">
        <v>520.75</v>
      </c>
      <c r="R61" s="3">
        <v>455.22</v>
      </c>
      <c r="S61" s="3">
        <v>532.96</v>
      </c>
      <c r="T61" s="3">
        <v>530.84</v>
      </c>
      <c r="U61" s="3">
        <v>516.16999999999996</v>
      </c>
      <c r="V61" s="3" t="s">
        <v>63</v>
      </c>
    </row>
    <row r="62" spans="1:22" x14ac:dyDescent="0.2">
      <c r="A62" s="3" t="s">
        <v>460</v>
      </c>
      <c r="B62" s="3">
        <v>113.31</v>
      </c>
      <c r="C62" s="3">
        <v>137.08000000000001</v>
      </c>
      <c r="D62" s="3">
        <v>323.36</v>
      </c>
      <c r="E62" s="3">
        <v>469.14</v>
      </c>
      <c r="F62" s="3">
        <v>412.18</v>
      </c>
      <c r="G62" s="3">
        <v>438.51</v>
      </c>
      <c r="H62" s="3">
        <v>622.04999999999995</v>
      </c>
      <c r="I62" s="3">
        <v>528.74</v>
      </c>
      <c r="J62" s="3">
        <v>426.78</v>
      </c>
      <c r="K62" s="3">
        <v>312.56</v>
      </c>
      <c r="L62" s="3">
        <v>257.61</v>
      </c>
      <c r="M62" s="3">
        <v>135.71</v>
      </c>
      <c r="N62" s="3">
        <v>124.41</v>
      </c>
      <c r="O62" s="3">
        <v>71.23</v>
      </c>
      <c r="P62" s="3">
        <v>143.13999999999999</v>
      </c>
      <c r="Q62" s="3">
        <v>56.3</v>
      </c>
      <c r="R62" s="3">
        <v>58.26</v>
      </c>
      <c r="S62" s="3">
        <v>60.56</v>
      </c>
      <c r="T62" s="3">
        <v>106.99</v>
      </c>
      <c r="U62" s="3">
        <v>61.52</v>
      </c>
      <c r="V62" s="3" t="s">
        <v>63</v>
      </c>
    </row>
    <row r="63" spans="1:22" x14ac:dyDescent="0.2">
      <c r="A63" s="3" t="s">
        <v>120</v>
      </c>
      <c r="B63" s="3">
        <v>879.74</v>
      </c>
      <c r="C63" s="3">
        <v>807.86</v>
      </c>
      <c r="D63" s="4">
        <v>1066</v>
      </c>
      <c r="E63" s="4">
        <v>1219</v>
      </c>
      <c r="F63" s="4">
        <v>1198</v>
      </c>
      <c r="G63" s="4">
        <v>1313</v>
      </c>
      <c r="H63" s="4">
        <v>1835</v>
      </c>
      <c r="I63" s="4">
        <v>1708</v>
      </c>
      <c r="J63" s="4">
        <v>1771</v>
      </c>
      <c r="K63" s="4">
        <v>1664</v>
      </c>
      <c r="L63" s="4">
        <v>1449</v>
      </c>
      <c r="M63" s="4">
        <v>1171</v>
      </c>
      <c r="N63" s="4">
        <v>1087</v>
      </c>
      <c r="O63" s="3">
        <v>729.96</v>
      </c>
      <c r="P63" s="3">
        <v>700.06</v>
      </c>
      <c r="Q63" s="3">
        <v>577.04</v>
      </c>
      <c r="R63" s="3">
        <v>513.48</v>
      </c>
      <c r="S63" s="3">
        <v>593.52</v>
      </c>
      <c r="T63" s="3">
        <v>637.83000000000004</v>
      </c>
      <c r="U63" s="3">
        <v>577.69000000000005</v>
      </c>
      <c r="V63" s="3" t="s">
        <v>63</v>
      </c>
    </row>
    <row r="64" spans="1:22" x14ac:dyDescent="0.2">
      <c r="A64" s="3" t="s">
        <v>121</v>
      </c>
      <c r="B64" s="4">
        <v>1641</v>
      </c>
      <c r="C64" s="4">
        <v>1656</v>
      </c>
      <c r="D64" s="4">
        <v>1503</v>
      </c>
      <c r="E64" s="4">
        <v>1658</v>
      </c>
      <c r="F64" s="4">
        <v>1800</v>
      </c>
      <c r="G64" s="4">
        <v>1905</v>
      </c>
      <c r="H64" s="4">
        <v>2161</v>
      </c>
      <c r="I64" s="4">
        <v>3404</v>
      </c>
      <c r="J64" s="4">
        <v>3659</v>
      </c>
      <c r="K64" s="4">
        <v>3181</v>
      </c>
      <c r="L64" s="4">
        <v>2076</v>
      </c>
      <c r="M64" s="4">
        <v>1614</v>
      </c>
      <c r="N64" s="4">
        <v>1216</v>
      </c>
      <c r="O64" s="4">
        <v>1014</v>
      </c>
      <c r="P64" s="3">
        <v>798.62</v>
      </c>
      <c r="Q64" s="3">
        <v>745.6</v>
      </c>
      <c r="R64" s="3">
        <v>732.56</v>
      </c>
      <c r="S64" s="3">
        <v>685.78</v>
      </c>
      <c r="T64" s="3">
        <v>750.24</v>
      </c>
      <c r="U64" s="3">
        <v>828.08</v>
      </c>
      <c r="V64" s="3" t="s">
        <v>63</v>
      </c>
    </row>
    <row r="65" spans="1:22" x14ac:dyDescent="0.2">
      <c r="A65" s="3" t="s">
        <v>393</v>
      </c>
      <c r="B65" s="3" t="s">
        <v>12</v>
      </c>
      <c r="C65" s="3" t="s">
        <v>12</v>
      </c>
      <c r="D65" s="3">
        <v>77.19</v>
      </c>
      <c r="E65" s="3">
        <v>127.79</v>
      </c>
      <c r="F65" s="3" t="s">
        <v>12</v>
      </c>
      <c r="G65" s="3" t="s">
        <v>12</v>
      </c>
      <c r="H65" s="3">
        <v>323.93</v>
      </c>
      <c r="I65" s="3" t="s">
        <v>12</v>
      </c>
      <c r="J65" s="3" t="s">
        <v>12</v>
      </c>
      <c r="K65" s="3" t="s">
        <v>12</v>
      </c>
      <c r="L65" s="3">
        <v>156.44</v>
      </c>
      <c r="M65" s="3" t="s">
        <v>12</v>
      </c>
      <c r="N65" s="3" t="s">
        <v>12</v>
      </c>
      <c r="O65" s="3" t="s">
        <v>12</v>
      </c>
      <c r="P65" s="3">
        <v>49.93</v>
      </c>
      <c r="Q65" s="3" t="s">
        <v>12</v>
      </c>
      <c r="R65" s="3" t="s">
        <v>12</v>
      </c>
      <c r="S65" s="3" t="s">
        <v>12</v>
      </c>
      <c r="T65" s="3">
        <v>57.53</v>
      </c>
      <c r="U65" s="3" t="s">
        <v>12</v>
      </c>
      <c r="V65" s="3" t="s">
        <v>63</v>
      </c>
    </row>
    <row r="66" spans="1:22" x14ac:dyDescent="0.2">
      <c r="A66" s="3" t="s">
        <v>122</v>
      </c>
      <c r="B66" s="3">
        <v>177.7</v>
      </c>
      <c r="C66" s="3">
        <v>124.55</v>
      </c>
      <c r="D66" s="3">
        <v>4.75</v>
      </c>
      <c r="E66" s="3">
        <v>0.68</v>
      </c>
      <c r="F66" s="3">
        <v>397.63</v>
      </c>
      <c r="G66" s="3">
        <v>549.54</v>
      </c>
      <c r="H66" s="3">
        <v>6.6</v>
      </c>
      <c r="I66" s="3">
        <v>411.93</v>
      </c>
      <c r="J66" s="3">
        <v>425.36</v>
      </c>
      <c r="K66" s="3">
        <v>225.54</v>
      </c>
      <c r="L66" s="3">
        <v>6.72</v>
      </c>
      <c r="M66" s="3">
        <v>129.04</v>
      </c>
      <c r="N66" s="3">
        <v>116.67</v>
      </c>
      <c r="O66" s="3">
        <v>129.41</v>
      </c>
      <c r="P66" s="3">
        <v>5.8</v>
      </c>
      <c r="Q66" s="3">
        <v>160.41999999999999</v>
      </c>
      <c r="R66" s="3">
        <v>81.739999999999995</v>
      </c>
      <c r="S66" s="3">
        <v>160.22999999999999</v>
      </c>
      <c r="T66" s="3">
        <v>13.87</v>
      </c>
      <c r="U66" s="3">
        <v>119.17</v>
      </c>
      <c r="V66" s="3" t="s">
        <v>63</v>
      </c>
    </row>
    <row r="67" spans="1:22" x14ac:dyDescent="0.2">
      <c r="A67" s="3" t="s">
        <v>123</v>
      </c>
      <c r="B67" s="4">
        <v>4505</v>
      </c>
      <c r="C67" s="4">
        <v>4107</v>
      </c>
      <c r="D67" s="4">
        <v>3842</v>
      </c>
      <c r="E67" s="4">
        <v>4670</v>
      </c>
      <c r="F67" s="4">
        <v>5226</v>
      </c>
      <c r="G67" s="4">
        <v>5823</v>
      </c>
      <c r="H67" s="4">
        <v>5217</v>
      </c>
      <c r="I67" s="4">
        <v>7126</v>
      </c>
      <c r="J67" s="4">
        <v>7455</v>
      </c>
      <c r="K67" s="4">
        <v>6658</v>
      </c>
      <c r="L67" s="4">
        <v>5187</v>
      </c>
      <c r="M67" s="4">
        <v>4297</v>
      </c>
      <c r="N67" s="4">
        <v>3350</v>
      </c>
      <c r="O67" s="4">
        <v>2336</v>
      </c>
      <c r="P67" s="4">
        <v>1994</v>
      </c>
      <c r="Q67" s="4">
        <v>2078</v>
      </c>
      <c r="R67" s="4">
        <v>2151</v>
      </c>
      <c r="S67" s="4">
        <v>2009</v>
      </c>
      <c r="T67" s="4">
        <v>2206</v>
      </c>
      <c r="U67" s="4">
        <v>2227</v>
      </c>
      <c r="V67" s="3" t="s">
        <v>63</v>
      </c>
    </row>
    <row r="68" spans="1:22" x14ac:dyDescent="0.2">
      <c r="A68" s="3" t="s">
        <v>124</v>
      </c>
      <c r="B68" s="4">
        <v>9253</v>
      </c>
      <c r="C68" s="4">
        <v>9425</v>
      </c>
      <c r="D68" s="4">
        <v>9450</v>
      </c>
      <c r="E68" s="4">
        <v>9381</v>
      </c>
      <c r="F68" s="4">
        <v>9967</v>
      </c>
      <c r="G68" s="4">
        <v>9893</v>
      </c>
      <c r="H68" s="4">
        <v>9633</v>
      </c>
      <c r="I68" s="4">
        <v>8449</v>
      </c>
      <c r="J68" s="4">
        <v>7993</v>
      </c>
      <c r="K68" s="4">
        <v>7482</v>
      </c>
      <c r="L68" s="4">
        <v>7091</v>
      </c>
      <c r="M68" s="4">
        <v>6555</v>
      </c>
      <c r="N68" s="4">
        <v>6343</v>
      </c>
      <c r="O68" s="4">
        <v>6173</v>
      </c>
      <c r="P68" s="4">
        <v>6064</v>
      </c>
      <c r="Q68" s="4">
        <v>5821</v>
      </c>
      <c r="R68" s="4">
        <v>5683</v>
      </c>
      <c r="S68" s="4">
        <v>5519</v>
      </c>
      <c r="T68" s="4">
        <v>5491</v>
      </c>
      <c r="U68" s="4">
        <v>5376</v>
      </c>
      <c r="V68" s="3" t="s">
        <v>63</v>
      </c>
    </row>
    <row r="69" spans="1:22" x14ac:dyDescent="0.2">
      <c r="A69" s="3" t="s">
        <v>442</v>
      </c>
      <c r="B69" s="3">
        <v>890.38</v>
      </c>
      <c r="C69" s="4">
        <v>1125</v>
      </c>
      <c r="D69" s="4">
        <v>1118</v>
      </c>
      <c r="E69" s="4">
        <v>1180</v>
      </c>
      <c r="F69" s="4">
        <v>1161</v>
      </c>
      <c r="G69" s="4">
        <v>1259</v>
      </c>
      <c r="H69" s="4">
        <v>1370</v>
      </c>
      <c r="I69" s="4">
        <v>1254</v>
      </c>
      <c r="J69" s="4">
        <v>1621</v>
      </c>
      <c r="K69" s="4">
        <v>1391</v>
      </c>
      <c r="L69" s="4">
        <v>1151</v>
      </c>
      <c r="M69" s="4">
        <v>1159</v>
      </c>
      <c r="N69" s="3">
        <v>903.86</v>
      </c>
      <c r="O69" s="3">
        <v>937.62</v>
      </c>
      <c r="P69" s="3">
        <v>912.01</v>
      </c>
      <c r="Q69" s="3">
        <v>902.5</v>
      </c>
      <c r="R69" s="3">
        <v>907.08</v>
      </c>
      <c r="S69" s="3">
        <v>663.45</v>
      </c>
      <c r="T69" s="3">
        <v>656.24</v>
      </c>
      <c r="U69" s="3">
        <v>603.75</v>
      </c>
      <c r="V69" s="3" t="s">
        <v>63</v>
      </c>
    </row>
    <row r="70" spans="1:22" x14ac:dyDescent="0.2">
      <c r="A70" s="3" t="s">
        <v>192</v>
      </c>
      <c r="B70" s="4">
        <v>1671</v>
      </c>
      <c r="C70" s="4">
        <v>1606</v>
      </c>
      <c r="D70" s="4">
        <v>1583</v>
      </c>
      <c r="E70" s="4">
        <v>1638</v>
      </c>
      <c r="F70" s="4">
        <v>1601</v>
      </c>
      <c r="G70" s="4">
        <v>1614</v>
      </c>
      <c r="H70" s="4">
        <v>1630</v>
      </c>
      <c r="I70" s="4">
        <v>1606</v>
      </c>
      <c r="J70" s="4">
        <v>1635</v>
      </c>
      <c r="K70" s="4">
        <v>1634</v>
      </c>
      <c r="L70" s="4">
        <v>1618</v>
      </c>
      <c r="M70" s="4">
        <v>1468</v>
      </c>
      <c r="N70" s="4">
        <v>1543</v>
      </c>
      <c r="O70" s="4">
        <v>1576</v>
      </c>
      <c r="P70" s="4">
        <v>1598</v>
      </c>
      <c r="Q70" s="4">
        <v>1623</v>
      </c>
      <c r="R70" s="4">
        <v>1641</v>
      </c>
      <c r="S70" s="4">
        <v>1629</v>
      </c>
      <c r="T70" s="4">
        <v>1666</v>
      </c>
      <c r="U70" s="4">
        <v>1603</v>
      </c>
      <c r="V70" s="3" t="s">
        <v>63</v>
      </c>
    </row>
    <row r="71" spans="1:22" x14ac:dyDescent="0.2">
      <c r="A71" s="3" t="s">
        <v>359</v>
      </c>
      <c r="B71" s="3">
        <v>234.95</v>
      </c>
      <c r="C71" s="3">
        <v>229.74</v>
      </c>
      <c r="D71" s="3">
        <v>230.75</v>
      </c>
      <c r="E71" s="3">
        <v>246.08</v>
      </c>
      <c r="F71" s="3">
        <v>243.34</v>
      </c>
      <c r="G71" s="3">
        <v>251.76</v>
      </c>
      <c r="H71" s="3">
        <v>261.86</v>
      </c>
      <c r="I71" s="3">
        <v>260.54000000000002</v>
      </c>
      <c r="J71" s="3">
        <v>274.41000000000003</v>
      </c>
      <c r="K71" s="3">
        <v>284.51</v>
      </c>
      <c r="L71" s="3">
        <v>287.87</v>
      </c>
      <c r="M71" s="3">
        <v>262.98</v>
      </c>
      <c r="N71" s="3">
        <v>285.3</v>
      </c>
      <c r="O71" s="3">
        <v>297.41000000000003</v>
      </c>
      <c r="P71" s="3">
        <v>308.95</v>
      </c>
      <c r="Q71" s="3">
        <v>320.98</v>
      </c>
      <c r="R71" s="3">
        <v>331.09</v>
      </c>
      <c r="S71" s="3">
        <v>335.02</v>
      </c>
      <c r="T71" s="3">
        <v>349.11</v>
      </c>
      <c r="U71" s="3">
        <v>343.92</v>
      </c>
      <c r="V71" s="3" t="s">
        <v>63</v>
      </c>
    </row>
    <row r="72" spans="1:22" x14ac:dyDescent="0.2">
      <c r="A72" s="3" t="s">
        <v>395</v>
      </c>
      <c r="B72" s="3" t="s">
        <v>12</v>
      </c>
      <c r="C72" s="3" t="s">
        <v>12</v>
      </c>
      <c r="D72" s="3">
        <v>53.61</v>
      </c>
      <c r="E72" s="3" t="s">
        <v>12</v>
      </c>
      <c r="F72" s="3" t="s">
        <v>12</v>
      </c>
      <c r="G72" s="3" t="s">
        <v>12</v>
      </c>
      <c r="H72" s="3">
        <v>22.43</v>
      </c>
      <c r="I72" s="3" t="s">
        <v>12</v>
      </c>
      <c r="J72" s="3" t="s">
        <v>12</v>
      </c>
      <c r="K72" s="3" t="s">
        <v>12</v>
      </c>
      <c r="L72" s="3">
        <v>46.43</v>
      </c>
      <c r="M72" s="3" t="s">
        <v>12</v>
      </c>
      <c r="N72" s="3" t="s">
        <v>12</v>
      </c>
      <c r="O72" s="3" t="s">
        <v>12</v>
      </c>
      <c r="P72" s="3">
        <v>18.8</v>
      </c>
      <c r="Q72" s="3" t="s">
        <v>12</v>
      </c>
      <c r="R72" s="3" t="s">
        <v>12</v>
      </c>
      <c r="S72" s="3" t="s">
        <v>12</v>
      </c>
      <c r="T72" s="3">
        <v>20.32</v>
      </c>
      <c r="U72" s="3" t="s">
        <v>12</v>
      </c>
      <c r="V72" s="3" t="s">
        <v>63</v>
      </c>
    </row>
    <row r="73" spans="1:22" x14ac:dyDescent="0.2">
      <c r="A73" s="3" t="s">
        <v>125</v>
      </c>
      <c r="B73" s="3">
        <v>737.59</v>
      </c>
      <c r="C73" s="3">
        <v>506.03</v>
      </c>
      <c r="D73" s="3">
        <v>332.26</v>
      </c>
      <c r="E73" s="3">
        <v>340.94</v>
      </c>
      <c r="F73" s="3">
        <v>191.11</v>
      </c>
      <c r="G73" s="3">
        <v>192.17</v>
      </c>
      <c r="H73" s="3">
        <v>137.25</v>
      </c>
      <c r="I73" s="3">
        <v>187.83</v>
      </c>
      <c r="J73" s="3">
        <v>131.41999999999999</v>
      </c>
      <c r="K73" s="3">
        <v>115.18</v>
      </c>
      <c r="L73" s="3">
        <v>75.95</v>
      </c>
      <c r="M73" s="3">
        <v>86.8</v>
      </c>
      <c r="N73" s="3">
        <v>95.2</v>
      </c>
      <c r="O73" s="3">
        <v>95.69</v>
      </c>
      <c r="P73" s="3">
        <v>78.7</v>
      </c>
      <c r="Q73" s="3">
        <v>85.82</v>
      </c>
      <c r="R73" s="3">
        <v>84.02</v>
      </c>
      <c r="S73" s="3">
        <v>134.72999999999999</v>
      </c>
      <c r="T73" s="3">
        <v>62.66</v>
      </c>
      <c r="U73" s="3">
        <v>78.760000000000005</v>
      </c>
      <c r="V73" s="3" t="s">
        <v>63</v>
      </c>
    </row>
    <row r="74" spans="1:22" x14ac:dyDescent="0.2">
      <c r="A74" s="3" t="s">
        <v>126</v>
      </c>
      <c r="B74" s="4">
        <v>17292</v>
      </c>
      <c r="C74" s="4">
        <v>16999</v>
      </c>
      <c r="D74" s="4">
        <v>16610</v>
      </c>
      <c r="E74" s="4">
        <v>17455</v>
      </c>
      <c r="F74" s="4">
        <v>18388</v>
      </c>
      <c r="G74" s="4">
        <v>19032</v>
      </c>
      <c r="H74" s="4">
        <v>18271</v>
      </c>
      <c r="I74" s="4">
        <v>18883</v>
      </c>
      <c r="J74" s="4">
        <v>19110</v>
      </c>
      <c r="K74" s="4">
        <v>17564</v>
      </c>
      <c r="L74" s="4">
        <v>15457</v>
      </c>
      <c r="M74" s="4">
        <v>13829</v>
      </c>
      <c r="N74" s="4">
        <v>12520</v>
      </c>
      <c r="O74" s="4">
        <v>11416</v>
      </c>
      <c r="P74" s="4">
        <v>10974</v>
      </c>
      <c r="Q74" s="4">
        <v>10832</v>
      </c>
      <c r="R74" s="4">
        <v>10797</v>
      </c>
      <c r="S74" s="4">
        <v>10290</v>
      </c>
      <c r="T74" s="4">
        <v>10451</v>
      </c>
      <c r="U74" s="4">
        <v>10232</v>
      </c>
      <c r="V74" s="3" t="s">
        <v>63</v>
      </c>
    </row>
    <row r="75" spans="1:22" x14ac:dyDescent="0.2">
      <c r="A75" s="3" t="s">
        <v>127</v>
      </c>
      <c r="B75" s="3">
        <v>858.78</v>
      </c>
      <c r="C75" s="3">
        <v>917.95</v>
      </c>
      <c r="D75" s="3">
        <v>943.89</v>
      </c>
      <c r="E75" s="4">
        <v>1223</v>
      </c>
      <c r="F75" s="4">
        <v>1323</v>
      </c>
      <c r="G75" s="4">
        <v>1296</v>
      </c>
      <c r="H75" s="4">
        <v>2088</v>
      </c>
      <c r="I75" s="4">
        <v>2607</v>
      </c>
      <c r="J75" s="4">
        <v>3052</v>
      </c>
      <c r="K75" s="4">
        <v>2771</v>
      </c>
      <c r="L75" s="4">
        <v>2052</v>
      </c>
      <c r="M75" s="4">
        <v>1652</v>
      </c>
      <c r="N75" s="4">
        <v>1092</v>
      </c>
      <c r="O75" s="3">
        <v>845.71</v>
      </c>
      <c r="P75" s="3">
        <v>647.99</v>
      </c>
      <c r="Q75" s="3">
        <v>545.91999999999996</v>
      </c>
      <c r="R75" s="3">
        <v>535.15</v>
      </c>
      <c r="S75" s="3">
        <v>492.53</v>
      </c>
      <c r="T75" s="3">
        <v>483.22</v>
      </c>
      <c r="U75" s="3">
        <v>465.64</v>
      </c>
      <c r="V75" s="3" t="s">
        <v>63</v>
      </c>
    </row>
    <row r="76" spans="1:22" x14ac:dyDescent="0.2">
      <c r="A76" s="3" t="s">
        <v>128</v>
      </c>
      <c r="B76" s="3">
        <v>414.88</v>
      </c>
      <c r="C76" s="3">
        <v>336.4</v>
      </c>
      <c r="D76" s="3">
        <v>435.37</v>
      </c>
      <c r="E76" s="3">
        <v>474.26</v>
      </c>
      <c r="F76" s="3">
        <v>476.03</v>
      </c>
      <c r="G76" s="3">
        <v>414.8</v>
      </c>
      <c r="H76" s="3">
        <v>513.80999999999995</v>
      </c>
      <c r="I76" s="3">
        <v>638.41999999999996</v>
      </c>
      <c r="J76" s="3">
        <v>635.77</v>
      </c>
      <c r="K76" s="3">
        <v>366.77</v>
      </c>
      <c r="L76" s="3">
        <v>417.21</v>
      </c>
      <c r="M76" s="3">
        <v>346.07</v>
      </c>
      <c r="N76" s="3">
        <v>295.33999999999997</v>
      </c>
      <c r="O76" s="3">
        <v>632.16</v>
      </c>
      <c r="P76" s="3">
        <v>266.49</v>
      </c>
      <c r="Q76" s="3">
        <v>908.6</v>
      </c>
      <c r="R76" s="3">
        <v>281.14999999999998</v>
      </c>
      <c r="S76" s="3">
        <v>355.27</v>
      </c>
      <c r="T76" s="3">
        <v>276.57</v>
      </c>
      <c r="U76" s="3">
        <v>457.66</v>
      </c>
      <c r="V76" s="3" t="s">
        <v>63</v>
      </c>
    </row>
    <row r="77" spans="1:22" x14ac:dyDescent="0.2">
      <c r="A77" s="3" t="s">
        <v>360</v>
      </c>
      <c r="B77" s="3">
        <v>444.91</v>
      </c>
      <c r="C77" s="3">
        <v>405.19</v>
      </c>
      <c r="D77" s="3">
        <v>392.84</v>
      </c>
      <c r="E77" s="3" t="s">
        <v>12</v>
      </c>
      <c r="F77" s="3" t="s">
        <v>12</v>
      </c>
      <c r="G77" s="3" t="s">
        <v>12</v>
      </c>
      <c r="H77" s="3">
        <v>620</v>
      </c>
      <c r="I77" s="3">
        <v>156.5</v>
      </c>
      <c r="J77" s="3" t="s">
        <v>12</v>
      </c>
      <c r="K77" s="3" t="s">
        <v>12</v>
      </c>
      <c r="L77" s="3" t="s">
        <v>12</v>
      </c>
      <c r="M77" s="3">
        <v>250</v>
      </c>
      <c r="N77" s="3">
        <v>249.96</v>
      </c>
      <c r="O77" s="3">
        <v>502.4</v>
      </c>
      <c r="P77" s="3">
        <v>388.5</v>
      </c>
      <c r="Q77" s="3" t="s">
        <v>12</v>
      </c>
      <c r="R77" s="3" t="s">
        <v>12</v>
      </c>
      <c r="S77" s="3" t="s">
        <v>12</v>
      </c>
      <c r="T77" s="3">
        <v>804.04</v>
      </c>
      <c r="U77" s="3">
        <v>603.20000000000005</v>
      </c>
      <c r="V77" s="3" t="s">
        <v>63</v>
      </c>
    </row>
    <row r="78" spans="1:22" x14ac:dyDescent="0.2">
      <c r="A78" s="3" t="s">
        <v>129</v>
      </c>
      <c r="B78" s="3" t="s">
        <v>12</v>
      </c>
      <c r="C78" s="3">
        <v>38.64</v>
      </c>
      <c r="D78" s="3">
        <v>37.81</v>
      </c>
      <c r="E78" s="3">
        <v>32.979999999999997</v>
      </c>
      <c r="F78" s="3">
        <v>31.58</v>
      </c>
      <c r="G78" s="3">
        <v>33.99</v>
      </c>
      <c r="H78" s="3">
        <v>36.340000000000003</v>
      </c>
      <c r="I78" s="3">
        <v>40.01</v>
      </c>
      <c r="J78" s="3">
        <v>43</v>
      </c>
      <c r="K78" s="3">
        <v>37.51</v>
      </c>
      <c r="L78" s="3">
        <v>37.64</v>
      </c>
      <c r="M78" s="3">
        <v>31.26</v>
      </c>
      <c r="N78" s="3">
        <v>32.01</v>
      </c>
      <c r="O78" s="3">
        <v>36.68</v>
      </c>
      <c r="P78" s="3">
        <v>33.020000000000003</v>
      </c>
      <c r="Q78" s="3">
        <v>34.47</v>
      </c>
      <c r="R78" s="3">
        <v>34.74</v>
      </c>
      <c r="S78" s="3">
        <v>20.399999999999999</v>
      </c>
      <c r="T78" s="3">
        <v>22.94</v>
      </c>
      <c r="U78" s="3">
        <v>18.600000000000001</v>
      </c>
      <c r="V78" s="3" t="s">
        <v>63</v>
      </c>
    </row>
    <row r="79" spans="1:22" x14ac:dyDescent="0.2">
      <c r="A79" s="3" t="s">
        <v>193</v>
      </c>
      <c r="B79" s="3">
        <v>169.88</v>
      </c>
      <c r="C79" s="3">
        <v>174.78</v>
      </c>
      <c r="D79" s="3">
        <v>95.28</v>
      </c>
      <c r="E79" s="3">
        <v>110.51</v>
      </c>
      <c r="F79" s="3">
        <v>63.07</v>
      </c>
      <c r="G79" s="3">
        <v>237.1</v>
      </c>
      <c r="H79" s="3">
        <v>255.16</v>
      </c>
      <c r="I79" s="3">
        <v>436.24</v>
      </c>
      <c r="J79" s="3">
        <v>513.34</v>
      </c>
      <c r="K79" s="3">
        <v>282.04000000000002</v>
      </c>
      <c r="L79" s="3">
        <v>134.88</v>
      </c>
      <c r="M79" s="3">
        <v>153.44</v>
      </c>
      <c r="N79" s="3">
        <v>61.84</v>
      </c>
      <c r="O79" s="3">
        <v>40.130000000000003</v>
      </c>
      <c r="P79" s="3">
        <v>27.67</v>
      </c>
      <c r="Q79" s="3">
        <v>42.55</v>
      </c>
      <c r="R79" s="3">
        <v>85.77</v>
      </c>
      <c r="S79" s="3">
        <v>31.74</v>
      </c>
      <c r="T79" s="3">
        <v>32.25</v>
      </c>
      <c r="U79" s="3">
        <v>25.01</v>
      </c>
      <c r="V79" s="3" t="s">
        <v>63</v>
      </c>
    </row>
    <row r="80" spans="1:22" x14ac:dyDescent="0.2">
      <c r="A80" s="3" t="s">
        <v>130</v>
      </c>
      <c r="B80" s="3">
        <v>61.33</v>
      </c>
      <c r="C80" s="3">
        <v>71.42</v>
      </c>
      <c r="D80" s="3">
        <v>61.28</v>
      </c>
      <c r="E80" s="3">
        <v>70.150000000000006</v>
      </c>
      <c r="F80" s="3">
        <v>64.599999999999994</v>
      </c>
      <c r="G80" s="3">
        <v>69.239999999999995</v>
      </c>
      <c r="H80" s="3">
        <v>47.11</v>
      </c>
      <c r="I80" s="3">
        <v>63.19</v>
      </c>
      <c r="J80" s="3">
        <v>46.94</v>
      </c>
      <c r="K80" s="3">
        <v>47.98</v>
      </c>
      <c r="L80" s="3">
        <v>99.28</v>
      </c>
      <c r="M80" s="3">
        <v>55.32</v>
      </c>
      <c r="N80" s="3">
        <v>51.03</v>
      </c>
      <c r="O80" s="3">
        <v>46.26</v>
      </c>
      <c r="P80" s="3">
        <v>510.67</v>
      </c>
      <c r="Q80" s="3">
        <v>59.49</v>
      </c>
      <c r="R80" s="3">
        <v>48.12</v>
      </c>
      <c r="S80" s="3">
        <v>53.31</v>
      </c>
      <c r="T80" s="3">
        <v>182.83</v>
      </c>
      <c r="U80" s="3">
        <v>42.62</v>
      </c>
      <c r="V80" s="3" t="s">
        <v>63</v>
      </c>
    </row>
    <row r="81" spans="1:22" x14ac:dyDescent="0.2">
      <c r="A81" s="3" t="s">
        <v>131</v>
      </c>
      <c r="B81" s="4">
        <v>1950</v>
      </c>
      <c r="C81" s="4">
        <v>1944</v>
      </c>
      <c r="D81" s="4">
        <v>1966</v>
      </c>
      <c r="E81" s="4">
        <v>1911</v>
      </c>
      <c r="F81" s="4">
        <v>1958</v>
      </c>
      <c r="G81" s="4">
        <v>2051</v>
      </c>
      <c r="H81" s="4">
        <v>3560</v>
      </c>
      <c r="I81" s="4">
        <v>3942</v>
      </c>
      <c r="J81" s="4">
        <v>4292</v>
      </c>
      <c r="K81" s="4">
        <v>3505</v>
      </c>
      <c r="L81" s="4">
        <v>2741</v>
      </c>
      <c r="M81" s="4">
        <v>2488</v>
      </c>
      <c r="N81" s="4">
        <v>1782</v>
      </c>
      <c r="O81" s="4">
        <v>2103</v>
      </c>
      <c r="P81" s="4">
        <v>1874</v>
      </c>
      <c r="Q81" s="4">
        <v>1591</v>
      </c>
      <c r="R81" s="3">
        <v>984.93</v>
      </c>
      <c r="S81" s="3">
        <v>953.26</v>
      </c>
      <c r="T81" s="4">
        <v>1802</v>
      </c>
      <c r="U81" s="4">
        <v>1613</v>
      </c>
      <c r="V81" s="3" t="s">
        <v>63</v>
      </c>
    </row>
    <row r="82" spans="1:22" x14ac:dyDescent="0.2">
      <c r="A82" s="3" t="s">
        <v>132</v>
      </c>
      <c r="B82" s="4">
        <v>3178</v>
      </c>
      <c r="C82" s="4">
        <v>3016</v>
      </c>
      <c r="D82" s="4">
        <v>3005</v>
      </c>
      <c r="E82" s="4">
        <v>3457</v>
      </c>
      <c r="F82" s="4">
        <v>3410</v>
      </c>
      <c r="G82" s="4">
        <v>3421</v>
      </c>
      <c r="H82" s="4">
        <v>3437</v>
      </c>
      <c r="I82" s="4">
        <v>3381</v>
      </c>
      <c r="J82" s="4">
        <v>3393</v>
      </c>
      <c r="K82" s="4">
        <v>3159</v>
      </c>
      <c r="L82" s="4">
        <v>3141</v>
      </c>
      <c r="M82" s="4">
        <v>3048</v>
      </c>
      <c r="N82" s="4">
        <v>3134</v>
      </c>
      <c r="O82" s="4">
        <v>1913</v>
      </c>
      <c r="P82" s="4">
        <v>1930</v>
      </c>
      <c r="Q82" s="4">
        <v>1964</v>
      </c>
      <c r="R82" s="4">
        <v>1986</v>
      </c>
      <c r="S82" s="4">
        <v>1972</v>
      </c>
      <c r="T82" s="4">
        <v>2709</v>
      </c>
      <c r="U82" s="4">
        <v>2882</v>
      </c>
      <c r="V82" s="3" t="s">
        <v>63</v>
      </c>
    </row>
    <row r="83" spans="1:22" x14ac:dyDescent="0.2">
      <c r="A83" s="3" t="s">
        <v>133</v>
      </c>
      <c r="B83" s="3" t="s">
        <v>12</v>
      </c>
      <c r="C83" s="3">
        <v>213.94</v>
      </c>
      <c r="D83" s="3">
        <v>213.13</v>
      </c>
      <c r="E83" s="3">
        <v>217.09</v>
      </c>
      <c r="F83" s="3">
        <v>218.29</v>
      </c>
      <c r="G83" s="3">
        <v>212.91</v>
      </c>
      <c r="H83" s="3">
        <v>218.17</v>
      </c>
      <c r="I83" s="3">
        <v>230.61</v>
      </c>
      <c r="J83" s="3">
        <v>227.46</v>
      </c>
      <c r="K83" s="3">
        <v>176.03</v>
      </c>
      <c r="L83" s="3">
        <v>173.68</v>
      </c>
      <c r="M83" s="3">
        <v>172.96</v>
      </c>
      <c r="N83" s="3">
        <v>179.14</v>
      </c>
      <c r="O83" s="3">
        <v>189.85</v>
      </c>
      <c r="P83" s="3">
        <v>201.01</v>
      </c>
      <c r="Q83" s="3">
        <v>194.52</v>
      </c>
      <c r="R83" s="3">
        <v>200.29</v>
      </c>
      <c r="S83" s="3">
        <v>170.01</v>
      </c>
      <c r="T83" s="3">
        <v>175.31</v>
      </c>
      <c r="U83" s="3">
        <v>174.97</v>
      </c>
      <c r="V83" s="3" t="s">
        <v>63</v>
      </c>
    </row>
    <row r="84" spans="1:22" x14ac:dyDescent="0.2">
      <c r="A84" s="3" t="s">
        <v>468</v>
      </c>
      <c r="B84" s="3" t="s">
        <v>12</v>
      </c>
      <c r="C84" s="3">
        <v>406.15</v>
      </c>
      <c r="D84" s="3">
        <v>78.03</v>
      </c>
      <c r="E84" s="3" t="s">
        <v>12</v>
      </c>
      <c r="F84" s="3" t="s">
        <v>12</v>
      </c>
      <c r="G84" s="3" t="s">
        <v>12</v>
      </c>
      <c r="H84" s="3">
        <v>78.03</v>
      </c>
      <c r="I84" s="3" t="s">
        <v>12</v>
      </c>
      <c r="J84" s="3" t="s">
        <v>12</v>
      </c>
      <c r="K84" s="3" t="s">
        <v>12</v>
      </c>
      <c r="L84" s="3" t="s">
        <v>12</v>
      </c>
      <c r="M84" s="3" t="s">
        <v>12</v>
      </c>
      <c r="N84" s="3" t="s">
        <v>12</v>
      </c>
      <c r="O84" s="3" t="s">
        <v>12</v>
      </c>
      <c r="P84" s="3" t="s">
        <v>12</v>
      </c>
      <c r="Q84" s="3" t="s">
        <v>12</v>
      </c>
      <c r="R84" s="3" t="s">
        <v>12</v>
      </c>
      <c r="S84" s="3" t="s">
        <v>12</v>
      </c>
      <c r="T84" s="3" t="s">
        <v>12</v>
      </c>
      <c r="U84" s="3" t="s">
        <v>12</v>
      </c>
      <c r="V84" s="3" t="s">
        <v>63</v>
      </c>
    </row>
    <row r="85" spans="1:22" x14ac:dyDescent="0.2">
      <c r="A85" s="3" t="s">
        <v>361</v>
      </c>
      <c r="B85" s="3">
        <v>366.51</v>
      </c>
      <c r="C85" s="3">
        <v>378.17</v>
      </c>
      <c r="D85" s="3">
        <v>358.03</v>
      </c>
      <c r="E85" s="3">
        <v>526.37</v>
      </c>
      <c r="F85" s="3">
        <v>501.33</v>
      </c>
      <c r="G85" s="3">
        <v>657.47</v>
      </c>
      <c r="H85" s="3">
        <v>558.42999999999995</v>
      </c>
      <c r="I85" s="3">
        <v>289.52999999999997</v>
      </c>
      <c r="J85" s="3">
        <v>328.08</v>
      </c>
      <c r="K85" s="3">
        <v>486.47</v>
      </c>
      <c r="L85" s="3">
        <v>480.77</v>
      </c>
      <c r="M85" s="3">
        <v>429.01</v>
      </c>
      <c r="N85" s="3">
        <v>391.95</v>
      </c>
      <c r="O85" s="3">
        <v>380.88</v>
      </c>
      <c r="P85" s="3">
        <v>353.28</v>
      </c>
      <c r="Q85" s="3">
        <v>360.18</v>
      </c>
      <c r="R85" s="3">
        <v>428.44</v>
      </c>
      <c r="S85" s="3">
        <v>380.68</v>
      </c>
      <c r="T85" s="3">
        <v>394.85</v>
      </c>
      <c r="U85" s="3">
        <v>405.45</v>
      </c>
      <c r="V85" s="3" t="s">
        <v>63</v>
      </c>
    </row>
    <row r="86" spans="1:22" x14ac:dyDescent="0.2">
      <c r="A86" s="3" t="s">
        <v>134</v>
      </c>
      <c r="B86" s="4">
        <v>1145</v>
      </c>
      <c r="C86" s="3">
        <v>618.44000000000005</v>
      </c>
      <c r="D86" s="3">
        <v>641.66</v>
      </c>
      <c r="E86" s="3">
        <v>684.02</v>
      </c>
      <c r="F86" s="3">
        <v>649.88</v>
      </c>
      <c r="G86" s="3">
        <v>719.12</v>
      </c>
      <c r="H86" s="3">
        <v>577.39</v>
      </c>
      <c r="I86" s="3">
        <v>691.43</v>
      </c>
      <c r="J86" s="3">
        <v>589.16999999999996</v>
      </c>
      <c r="K86" s="3">
        <v>584.53</v>
      </c>
      <c r="L86" s="3">
        <v>537.33000000000004</v>
      </c>
      <c r="M86" s="3">
        <v>495.78</v>
      </c>
      <c r="N86" s="3">
        <v>484.07</v>
      </c>
      <c r="O86" s="3">
        <v>533.14</v>
      </c>
      <c r="P86" s="3">
        <v>536.70000000000005</v>
      </c>
      <c r="Q86" s="3">
        <v>480.94</v>
      </c>
      <c r="R86" s="3">
        <v>474.79</v>
      </c>
      <c r="S86" s="3">
        <v>507.59</v>
      </c>
      <c r="T86" s="3">
        <v>512.61</v>
      </c>
      <c r="U86" s="3">
        <v>495.62</v>
      </c>
      <c r="V86" s="3" t="s">
        <v>63</v>
      </c>
    </row>
    <row r="87" spans="1:22" x14ac:dyDescent="0.2">
      <c r="A87" s="3" t="s">
        <v>135</v>
      </c>
      <c r="B87" s="4">
        <v>6793</v>
      </c>
      <c r="C87" s="4">
        <v>6725</v>
      </c>
      <c r="D87" s="4">
        <v>6410</v>
      </c>
      <c r="E87" s="4">
        <v>6965</v>
      </c>
      <c r="F87" s="4">
        <v>6905</v>
      </c>
      <c r="G87" s="4">
        <v>7233</v>
      </c>
      <c r="H87" s="4">
        <v>8606</v>
      </c>
      <c r="I87" s="4">
        <v>8721</v>
      </c>
      <c r="J87" s="4">
        <v>9022</v>
      </c>
      <c r="K87" s="4">
        <v>8105</v>
      </c>
      <c r="L87" s="4">
        <v>7266</v>
      </c>
      <c r="M87" s="4">
        <v>6864</v>
      </c>
      <c r="N87" s="4">
        <v>6219</v>
      </c>
      <c r="O87" s="4">
        <v>5381</v>
      </c>
      <c r="P87" s="4">
        <v>5169</v>
      </c>
      <c r="Q87" s="4">
        <v>4937</v>
      </c>
      <c r="R87" s="4">
        <v>4431</v>
      </c>
      <c r="S87" s="4">
        <v>4348</v>
      </c>
      <c r="T87" s="4">
        <v>5982</v>
      </c>
      <c r="U87" s="4">
        <v>5907</v>
      </c>
      <c r="V87" s="3" t="s">
        <v>63</v>
      </c>
    </row>
    <row r="88" spans="1:22" x14ac:dyDescent="0.2">
      <c r="A88" s="3" t="s">
        <v>136</v>
      </c>
      <c r="B88" s="3">
        <v>1.18</v>
      </c>
      <c r="C88" s="3">
        <v>1.18</v>
      </c>
      <c r="D88" s="3">
        <v>1.18</v>
      </c>
      <c r="E88" s="3">
        <v>1.18</v>
      </c>
      <c r="F88" s="3">
        <v>1.18</v>
      </c>
      <c r="G88" s="3">
        <v>1.18</v>
      </c>
      <c r="H88" s="3">
        <v>1.17</v>
      </c>
      <c r="I88" s="3">
        <v>1.17</v>
      </c>
      <c r="J88" s="3">
        <v>1.17</v>
      </c>
      <c r="K88" s="3">
        <v>1.17</v>
      </c>
      <c r="L88" s="3">
        <v>1.17</v>
      </c>
      <c r="M88" s="3">
        <v>1.17</v>
      </c>
      <c r="N88" s="3">
        <v>1.17</v>
      </c>
      <c r="O88" s="3">
        <v>1.17</v>
      </c>
      <c r="P88" s="3">
        <v>1.17</v>
      </c>
      <c r="Q88" s="3">
        <v>1.17</v>
      </c>
      <c r="R88" s="3">
        <v>1.17</v>
      </c>
      <c r="S88" s="3">
        <v>1.17</v>
      </c>
      <c r="T88" s="3">
        <v>1.07</v>
      </c>
      <c r="U88" s="3">
        <v>1.07</v>
      </c>
      <c r="V88" s="3" t="s">
        <v>63</v>
      </c>
    </row>
    <row r="89" spans="1:22" x14ac:dyDescent="0.2">
      <c r="A89" s="3" t="s">
        <v>137</v>
      </c>
      <c r="B89" s="4">
        <v>3002</v>
      </c>
      <c r="C89" s="4">
        <v>2991</v>
      </c>
      <c r="D89" s="4">
        <v>2986</v>
      </c>
      <c r="E89" s="4">
        <v>2978</v>
      </c>
      <c r="F89" s="4">
        <v>2970</v>
      </c>
      <c r="G89" s="4">
        <v>2963</v>
      </c>
      <c r="H89" s="4">
        <v>2953</v>
      </c>
      <c r="I89" s="4">
        <v>2946</v>
      </c>
      <c r="J89" s="4">
        <v>2936</v>
      </c>
      <c r="K89" s="4">
        <v>2932</v>
      </c>
      <c r="L89" s="4">
        <v>2941</v>
      </c>
      <c r="M89" s="4">
        <v>2934</v>
      </c>
      <c r="N89" s="4">
        <v>2927</v>
      </c>
      <c r="O89" s="4">
        <v>2915</v>
      </c>
      <c r="P89" s="4">
        <v>2920</v>
      </c>
      <c r="Q89" s="4">
        <v>2913</v>
      </c>
      <c r="R89" s="4">
        <v>2908</v>
      </c>
      <c r="S89" s="4">
        <v>2890</v>
      </c>
      <c r="T89" s="4">
        <v>1438</v>
      </c>
      <c r="U89" s="4">
        <v>1411</v>
      </c>
      <c r="V89" s="3" t="s">
        <v>63</v>
      </c>
    </row>
    <row r="90" spans="1:22" x14ac:dyDescent="0.2">
      <c r="A90" s="3" t="s">
        <v>13</v>
      </c>
      <c r="B90" s="4">
        <v>5367</v>
      </c>
      <c r="C90" s="4">
        <v>5434</v>
      </c>
      <c r="D90" s="4">
        <v>5482</v>
      </c>
      <c r="E90" s="4">
        <v>5496</v>
      </c>
      <c r="F90" s="4">
        <v>6654</v>
      </c>
      <c r="G90" s="4">
        <v>6931</v>
      </c>
      <c r="H90" s="4">
        <v>6987</v>
      </c>
      <c r="I90" s="4">
        <v>7652</v>
      </c>
      <c r="J90" s="4">
        <v>7396</v>
      </c>
      <c r="K90" s="4">
        <v>6793</v>
      </c>
      <c r="L90" s="4">
        <v>5601</v>
      </c>
      <c r="M90" s="4">
        <v>4515</v>
      </c>
      <c r="N90" s="4">
        <v>3664</v>
      </c>
      <c r="O90" s="4">
        <v>3304</v>
      </c>
      <c r="P90" s="4">
        <v>3097</v>
      </c>
      <c r="Q90" s="4">
        <v>3146</v>
      </c>
      <c r="R90" s="4">
        <v>3584</v>
      </c>
      <c r="S90" s="4">
        <v>3205</v>
      </c>
      <c r="T90" s="4">
        <v>3155</v>
      </c>
      <c r="U90" s="4">
        <v>3112</v>
      </c>
      <c r="V90" s="3" t="s">
        <v>63</v>
      </c>
    </row>
    <row r="91" spans="1:22" x14ac:dyDescent="0.2">
      <c r="A91" s="3" t="s">
        <v>138</v>
      </c>
      <c r="B91" s="3">
        <v>-364.54</v>
      </c>
      <c r="C91" s="3">
        <v>-633.14</v>
      </c>
      <c r="D91" s="3">
        <v>-742.06</v>
      </c>
      <c r="E91" s="3">
        <v>-469.77</v>
      </c>
      <c r="F91" s="3">
        <v>-637.54999999999995</v>
      </c>
      <c r="G91" s="3">
        <v>-597.21</v>
      </c>
      <c r="H91" s="3">
        <v>-528.53</v>
      </c>
      <c r="I91" s="3">
        <v>-700.97</v>
      </c>
      <c r="J91" s="3">
        <v>-517.95000000000005</v>
      </c>
      <c r="K91" s="3">
        <v>-513.34</v>
      </c>
      <c r="L91" s="3">
        <v>-560.66</v>
      </c>
      <c r="M91" s="3">
        <v>-717.31</v>
      </c>
      <c r="N91" s="3">
        <v>-507.14</v>
      </c>
      <c r="O91" s="3">
        <v>-393.62</v>
      </c>
      <c r="P91" s="3">
        <v>-392.45</v>
      </c>
      <c r="Q91" s="3">
        <v>-366.44</v>
      </c>
      <c r="R91" s="3">
        <v>-328</v>
      </c>
      <c r="S91" s="3">
        <v>-350.11</v>
      </c>
      <c r="T91" s="3">
        <v>-326.13</v>
      </c>
      <c r="U91" s="3">
        <v>-398.47</v>
      </c>
      <c r="V91" s="3" t="s">
        <v>63</v>
      </c>
    </row>
    <row r="92" spans="1:22" x14ac:dyDescent="0.2">
      <c r="A92" s="3" t="s">
        <v>469</v>
      </c>
      <c r="B92" s="4">
        <v>8005</v>
      </c>
      <c r="C92" s="4">
        <v>7793</v>
      </c>
      <c r="D92" s="4">
        <v>7726</v>
      </c>
      <c r="E92" s="4">
        <v>8005</v>
      </c>
      <c r="F92" s="4">
        <v>8987</v>
      </c>
      <c r="G92" s="4">
        <v>9297</v>
      </c>
      <c r="H92" s="4">
        <v>9412</v>
      </c>
      <c r="I92" s="4">
        <v>9898</v>
      </c>
      <c r="J92" s="4">
        <v>9815</v>
      </c>
      <c r="K92" s="4">
        <v>9213</v>
      </c>
      <c r="L92" s="4">
        <v>7983</v>
      </c>
      <c r="M92" s="4">
        <v>6733</v>
      </c>
      <c r="N92" s="4">
        <v>6085</v>
      </c>
      <c r="O92" s="4">
        <v>5827</v>
      </c>
      <c r="P92" s="4">
        <v>5625</v>
      </c>
      <c r="Q92" s="4">
        <v>5694</v>
      </c>
      <c r="R92" s="4">
        <v>6166</v>
      </c>
      <c r="S92" s="4">
        <v>5746</v>
      </c>
      <c r="T92" s="4">
        <v>4268</v>
      </c>
      <c r="U92" s="4">
        <v>4125</v>
      </c>
      <c r="V92" s="3" t="s">
        <v>63</v>
      </c>
    </row>
    <row r="93" spans="1:22" x14ac:dyDescent="0.2">
      <c r="A93" s="3" t="s">
        <v>470</v>
      </c>
      <c r="B93" s="3">
        <v>258.45999999999998</v>
      </c>
      <c r="C93" s="3">
        <v>246.1</v>
      </c>
      <c r="D93" s="3">
        <v>238.17</v>
      </c>
      <c r="E93" s="3">
        <v>250.07</v>
      </c>
      <c r="F93" s="3">
        <v>260.60000000000002</v>
      </c>
      <c r="G93" s="3">
        <v>266.92</v>
      </c>
      <c r="H93" s="3">
        <v>252.92</v>
      </c>
      <c r="I93" s="3">
        <v>264.62</v>
      </c>
      <c r="J93" s="3">
        <v>272.73</v>
      </c>
      <c r="K93" s="3">
        <v>246.34</v>
      </c>
      <c r="L93" s="3">
        <v>208.22</v>
      </c>
      <c r="M93" s="3">
        <v>231.99</v>
      </c>
      <c r="N93" s="3">
        <v>215.68</v>
      </c>
      <c r="O93" s="3">
        <v>208.45</v>
      </c>
      <c r="P93" s="3">
        <v>180.34</v>
      </c>
      <c r="Q93" s="3">
        <v>201.12</v>
      </c>
      <c r="R93" s="3">
        <v>200.22</v>
      </c>
      <c r="S93" s="3">
        <v>196.17</v>
      </c>
      <c r="T93" s="3">
        <v>200.37</v>
      </c>
      <c r="U93" s="3">
        <v>200.5</v>
      </c>
      <c r="V93" s="3" t="s">
        <v>63</v>
      </c>
    </row>
    <row r="94" spans="1:22" x14ac:dyDescent="0.2">
      <c r="A94" s="3" t="s">
        <v>14</v>
      </c>
      <c r="B94" s="4">
        <v>10499</v>
      </c>
      <c r="C94" s="4">
        <v>10274</v>
      </c>
      <c r="D94" s="4">
        <v>10200</v>
      </c>
      <c r="E94" s="4">
        <v>10491</v>
      </c>
      <c r="F94" s="4">
        <v>11483</v>
      </c>
      <c r="G94" s="4">
        <v>11800</v>
      </c>
      <c r="H94" s="4">
        <v>9665</v>
      </c>
      <c r="I94" s="4">
        <v>10162</v>
      </c>
      <c r="J94" s="4">
        <v>10088</v>
      </c>
      <c r="K94" s="4">
        <v>9459</v>
      </c>
      <c r="L94" s="4">
        <v>8191</v>
      </c>
      <c r="M94" s="4">
        <v>6965</v>
      </c>
      <c r="N94" s="4">
        <v>6301</v>
      </c>
      <c r="O94" s="4">
        <v>6035</v>
      </c>
      <c r="P94" s="4">
        <v>5806</v>
      </c>
      <c r="Q94" s="4">
        <v>5895</v>
      </c>
      <c r="R94" s="4">
        <v>6366</v>
      </c>
      <c r="S94" s="4">
        <v>5943</v>
      </c>
      <c r="T94" s="4">
        <v>4469</v>
      </c>
      <c r="U94" s="4">
        <v>4325</v>
      </c>
      <c r="V94" s="3" t="s">
        <v>63</v>
      </c>
    </row>
    <row r="95" spans="1:22" x14ac:dyDescent="0.2">
      <c r="A95" s="3" t="s">
        <v>139</v>
      </c>
      <c r="B95" s="4">
        <v>17292</v>
      </c>
      <c r="C95" s="4">
        <v>16999</v>
      </c>
      <c r="D95" s="4">
        <v>16610</v>
      </c>
      <c r="E95" s="4">
        <v>17455</v>
      </c>
      <c r="F95" s="4">
        <v>18388</v>
      </c>
      <c r="G95" s="4">
        <v>19032</v>
      </c>
      <c r="H95" s="4">
        <v>18271</v>
      </c>
      <c r="I95" s="4">
        <v>18883</v>
      </c>
      <c r="J95" s="4">
        <v>19110</v>
      </c>
      <c r="K95" s="4">
        <v>17564</v>
      </c>
      <c r="L95" s="4">
        <v>15457</v>
      </c>
      <c r="M95" s="4">
        <v>13829</v>
      </c>
      <c r="N95" s="4">
        <v>12520</v>
      </c>
      <c r="O95" s="4">
        <v>11416</v>
      </c>
      <c r="P95" s="4">
        <v>10974</v>
      </c>
      <c r="Q95" s="4">
        <v>10832</v>
      </c>
      <c r="R95" s="4">
        <v>10797</v>
      </c>
      <c r="S95" s="4">
        <v>10290</v>
      </c>
      <c r="T95" s="4">
        <v>10451</v>
      </c>
      <c r="U95" s="4">
        <v>10232</v>
      </c>
      <c r="V95" s="3" t="s">
        <v>63</v>
      </c>
    </row>
    <row r="96" spans="1:22" x14ac:dyDescent="0.2">
      <c r="A96" s="3" t="s">
        <v>7</v>
      </c>
      <c r="B96" s="4">
        <v>3623</v>
      </c>
      <c r="C96" s="4">
        <v>3674</v>
      </c>
      <c r="D96" s="4">
        <v>3648</v>
      </c>
      <c r="E96" s="4">
        <v>3707</v>
      </c>
      <c r="F96" s="4">
        <v>3659</v>
      </c>
      <c r="G96" s="4">
        <v>3668</v>
      </c>
      <c r="H96" s="4">
        <v>4311</v>
      </c>
      <c r="I96" s="4">
        <v>3808</v>
      </c>
      <c r="J96" s="4">
        <v>3664</v>
      </c>
      <c r="K96" s="4">
        <v>3373</v>
      </c>
      <c r="L96" s="4">
        <v>3352</v>
      </c>
      <c r="M96" s="4">
        <v>3502</v>
      </c>
      <c r="N96" s="4">
        <v>3595</v>
      </c>
      <c r="O96" s="4">
        <v>2642</v>
      </c>
      <c r="P96" s="4">
        <v>2553</v>
      </c>
      <c r="Q96" s="4">
        <v>2193</v>
      </c>
      <c r="R96" s="4">
        <v>2221</v>
      </c>
      <c r="S96" s="4">
        <v>2162</v>
      </c>
      <c r="T96" s="4">
        <v>3711</v>
      </c>
      <c r="U96" s="4">
        <v>3679</v>
      </c>
      <c r="V96" s="3" t="s">
        <v>63</v>
      </c>
    </row>
    <row r="97" spans="1:22" x14ac:dyDescent="0.2">
      <c r="A97" s="3" t="s">
        <v>15</v>
      </c>
      <c r="B97" s="4">
        <v>-1816</v>
      </c>
      <c r="C97" s="4">
        <v>-2155</v>
      </c>
      <c r="D97" s="4">
        <v>-2395</v>
      </c>
      <c r="E97" s="4">
        <v>-2042</v>
      </c>
      <c r="F97" s="4">
        <v>-1829</v>
      </c>
      <c r="G97" s="4">
        <v>-1612</v>
      </c>
      <c r="H97" s="4">
        <v>-3214</v>
      </c>
      <c r="I97" s="4">
        <v>-2206</v>
      </c>
      <c r="J97" s="4">
        <v>-2064</v>
      </c>
      <c r="K97" s="4">
        <v>-1786</v>
      </c>
      <c r="L97" s="4">
        <v>-1813</v>
      </c>
      <c r="M97" s="4">
        <v>-2119</v>
      </c>
      <c r="N97" s="4">
        <v>-2664</v>
      </c>
      <c r="O97" s="4">
        <v>-2178</v>
      </c>
      <c r="P97" s="4">
        <v>-2076</v>
      </c>
      <c r="Q97" s="4">
        <v>-1597</v>
      </c>
      <c r="R97" s="4">
        <v>-1397</v>
      </c>
      <c r="S97" s="4">
        <v>-1592</v>
      </c>
      <c r="T97" s="4">
        <v>-2927</v>
      </c>
      <c r="U97" s="4">
        <v>-2977</v>
      </c>
      <c r="V97" s="3" t="s">
        <v>63</v>
      </c>
    </row>
    <row r="98" spans="1:22" x14ac:dyDescent="0.2">
      <c r="A98" s="3" t="s">
        <v>140</v>
      </c>
      <c r="B98" s="3">
        <v>-15.44</v>
      </c>
      <c r="C98" s="3">
        <v>-18.329999999999998</v>
      </c>
      <c r="D98" s="3">
        <v>-20.350000000000001</v>
      </c>
      <c r="E98" s="3">
        <v>-17.38</v>
      </c>
      <c r="F98" s="3">
        <v>-15.56</v>
      </c>
      <c r="G98" s="3">
        <v>-13.73</v>
      </c>
      <c r="H98" s="3">
        <v>-27.39</v>
      </c>
      <c r="I98" s="3">
        <v>-18.73</v>
      </c>
      <c r="J98" s="3">
        <v>-17.53</v>
      </c>
      <c r="K98" s="3">
        <v>-15.16</v>
      </c>
      <c r="L98" s="3">
        <v>-15.38</v>
      </c>
      <c r="M98" s="3">
        <v>-17.98</v>
      </c>
      <c r="N98" s="3">
        <v>-22.63</v>
      </c>
      <c r="O98" s="3">
        <v>-18.510000000000002</v>
      </c>
      <c r="P98" s="3">
        <v>-17.75</v>
      </c>
      <c r="Q98" s="3">
        <v>-13.66</v>
      </c>
      <c r="R98" s="3">
        <v>-11.9</v>
      </c>
      <c r="S98" s="3">
        <v>-14.05</v>
      </c>
      <c r="T98" s="3">
        <v>-27.28</v>
      </c>
      <c r="U98" s="3">
        <v>-27.85</v>
      </c>
      <c r="V98" s="3" t="s">
        <v>63</v>
      </c>
    </row>
    <row r="99" spans="1:22" x14ac:dyDescent="0.2">
      <c r="A99" s="3" t="s">
        <v>141</v>
      </c>
      <c r="B99" s="3">
        <v>117.67</v>
      </c>
      <c r="C99" s="3">
        <v>117.66</v>
      </c>
      <c r="D99" s="3">
        <v>117.57</v>
      </c>
      <c r="E99" s="3">
        <v>117.54</v>
      </c>
      <c r="F99" s="3">
        <v>117.53</v>
      </c>
      <c r="G99" s="3">
        <v>117.53</v>
      </c>
      <c r="H99" s="3">
        <v>117.4</v>
      </c>
      <c r="I99" s="3">
        <v>117.35</v>
      </c>
      <c r="J99" s="3">
        <v>117.35</v>
      </c>
      <c r="K99" s="3">
        <v>117.34</v>
      </c>
      <c r="L99" s="3">
        <v>117.2</v>
      </c>
      <c r="M99" s="3">
        <v>117.15</v>
      </c>
      <c r="N99" s="3">
        <v>117.13</v>
      </c>
      <c r="O99" s="3">
        <v>117.11</v>
      </c>
      <c r="P99" s="3">
        <v>117.04</v>
      </c>
      <c r="Q99" s="3">
        <v>116.98</v>
      </c>
      <c r="R99" s="3">
        <v>116.95</v>
      </c>
      <c r="S99" s="3">
        <v>116.72</v>
      </c>
      <c r="T99" s="3">
        <v>116.63</v>
      </c>
      <c r="U99" s="3">
        <v>106.46</v>
      </c>
      <c r="V99" s="3" t="s">
        <v>63</v>
      </c>
    </row>
    <row r="100" spans="1:22" x14ac:dyDescent="0.2">
      <c r="A100" s="3" t="s">
        <v>142</v>
      </c>
      <c r="B100" s="3">
        <v>117.67</v>
      </c>
      <c r="C100" s="3">
        <v>117.65</v>
      </c>
      <c r="D100" s="3">
        <v>117.56</v>
      </c>
      <c r="E100" s="3">
        <v>117.54</v>
      </c>
      <c r="F100" s="3">
        <v>117.53</v>
      </c>
      <c r="G100" s="3">
        <v>117.53</v>
      </c>
      <c r="H100" s="3">
        <v>117.36</v>
      </c>
      <c r="I100" s="3">
        <v>117.35</v>
      </c>
      <c r="J100" s="3">
        <v>117.34</v>
      </c>
      <c r="K100" s="3">
        <v>117.3</v>
      </c>
      <c r="L100" s="3">
        <v>117.17</v>
      </c>
      <c r="M100" s="3">
        <v>117.15</v>
      </c>
      <c r="N100" s="3">
        <v>117.12</v>
      </c>
      <c r="O100" s="3">
        <v>117.11</v>
      </c>
      <c r="P100" s="3">
        <v>117.02</v>
      </c>
      <c r="Q100" s="3">
        <v>116.98</v>
      </c>
      <c r="R100" s="3">
        <v>116.95</v>
      </c>
      <c r="S100" s="3">
        <v>116.72</v>
      </c>
      <c r="T100" s="3">
        <v>106.84</v>
      </c>
      <c r="U100" s="3">
        <v>106.46</v>
      </c>
      <c r="V100" s="3" t="s">
        <v>63</v>
      </c>
    </row>
    <row r="101" spans="1:22" x14ac:dyDescent="0.2">
      <c r="A101" s="3" t="s">
        <v>143</v>
      </c>
      <c r="B101" s="4">
        <v>2555</v>
      </c>
      <c r="C101" s="4">
        <v>2163</v>
      </c>
      <c r="D101" s="4">
        <v>1876</v>
      </c>
      <c r="E101" s="4">
        <v>2759</v>
      </c>
      <c r="F101" s="4">
        <v>3267</v>
      </c>
      <c r="G101" s="4">
        <v>3772</v>
      </c>
      <c r="H101" s="4">
        <v>1656</v>
      </c>
      <c r="I101" s="4">
        <v>3184</v>
      </c>
      <c r="J101" s="4">
        <v>3163</v>
      </c>
      <c r="K101" s="4">
        <v>3152</v>
      </c>
      <c r="L101" s="4">
        <v>2446</v>
      </c>
      <c r="M101" s="4">
        <v>1809</v>
      </c>
      <c r="N101" s="4">
        <v>1568</v>
      </c>
      <c r="O101" s="3">
        <v>233.15</v>
      </c>
      <c r="P101" s="3">
        <v>119.35</v>
      </c>
      <c r="Q101" s="3">
        <v>487.06</v>
      </c>
      <c r="R101" s="4">
        <v>1166</v>
      </c>
      <c r="S101" s="4">
        <v>1056</v>
      </c>
      <c r="T101" s="3">
        <v>404.34</v>
      </c>
      <c r="U101" s="3">
        <v>614.27</v>
      </c>
      <c r="V101" s="3" t="s">
        <v>63</v>
      </c>
    </row>
    <row r="102" spans="1:22" x14ac:dyDescent="0.2">
      <c r="A102" s="3" t="s">
        <v>16</v>
      </c>
      <c r="B102" s="3">
        <v>68.040000000000006</v>
      </c>
      <c r="C102" s="3">
        <v>66.239999999999995</v>
      </c>
      <c r="D102" s="3">
        <v>65.72</v>
      </c>
      <c r="E102" s="3">
        <v>68.11</v>
      </c>
      <c r="F102" s="3">
        <v>76.47</v>
      </c>
      <c r="G102" s="3">
        <v>79.11</v>
      </c>
      <c r="H102" s="3">
        <v>80.2</v>
      </c>
      <c r="I102" s="3">
        <v>84.34</v>
      </c>
      <c r="J102" s="3">
        <v>83.65</v>
      </c>
      <c r="K102" s="3">
        <v>78.540000000000006</v>
      </c>
      <c r="L102" s="3">
        <v>68.13</v>
      </c>
      <c r="M102" s="3">
        <v>57.47</v>
      </c>
      <c r="N102" s="3">
        <v>51.96</v>
      </c>
      <c r="O102" s="3">
        <v>49.75</v>
      </c>
      <c r="P102" s="3">
        <v>48.07</v>
      </c>
      <c r="Q102" s="3">
        <v>48.68</v>
      </c>
      <c r="R102" s="3">
        <v>52.72</v>
      </c>
      <c r="S102" s="3">
        <v>49.23</v>
      </c>
      <c r="T102" s="3">
        <v>39.950000000000003</v>
      </c>
      <c r="U102" s="3">
        <v>38.75</v>
      </c>
      <c r="V102" s="3" t="s">
        <v>63</v>
      </c>
    </row>
    <row r="103" spans="1:22" x14ac:dyDescent="0.2">
      <c r="A103" s="3" t="s">
        <v>144</v>
      </c>
      <c r="B103" s="4">
        <v>6100</v>
      </c>
      <c r="C103" s="4">
        <v>5957</v>
      </c>
      <c r="D103" s="4">
        <v>5913</v>
      </c>
      <c r="E103" s="4">
        <v>6122</v>
      </c>
      <c r="F103" s="4">
        <v>7143</v>
      </c>
      <c r="G103" s="4">
        <v>7432</v>
      </c>
      <c r="H103" s="4">
        <v>7521</v>
      </c>
      <c r="I103" s="4">
        <v>8031</v>
      </c>
      <c r="J103" s="4">
        <v>7906</v>
      </c>
      <c r="K103" s="4">
        <v>7294</v>
      </c>
      <c r="L103" s="4">
        <v>6077</v>
      </c>
      <c r="M103" s="4">
        <v>5002</v>
      </c>
      <c r="N103" s="4">
        <v>4257</v>
      </c>
      <c r="O103" s="4">
        <v>3954</v>
      </c>
      <c r="P103" s="4">
        <v>3719</v>
      </c>
      <c r="Q103" s="4">
        <v>3750</v>
      </c>
      <c r="R103" s="4">
        <v>4194</v>
      </c>
      <c r="S103" s="4">
        <v>3782</v>
      </c>
      <c r="T103" s="4">
        <v>2254</v>
      </c>
      <c r="U103" s="4">
        <v>2178</v>
      </c>
      <c r="V103" s="3" t="s">
        <v>63</v>
      </c>
    </row>
    <row r="104" spans="1:22" x14ac:dyDescent="0.2">
      <c r="A104" s="3" t="s">
        <v>145</v>
      </c>
      <c r="B104" s="3">
        <v>51.84</v>
      </c>
      <c r="C104" s="3">
        <v>50.63</v>
      </c>
      <c r="D104" s="3">
        <v>50.3</v>
      </c>
      <c r="E104" s="3">
        <v>52.08</v>
      </c>
      <c r="F104" s="3">
        <v>60.78</v>
      </c>
      <c r="G104" s="3">
        <v>63.24</v>
      </c>
      <c r="H104" s="3">
        <v>64.08</v>
      </c>
      <c r="I104" s="3">
        <v>68.44</v>
      </c>
      <c r="J104" s="3">
        <v>67.38</v>
      </c>
      <c r="K104" s="3">
        <v>62.18</v>
      </c>
      <c r="L104" s="3">
        <v>51.87</v>
      </c>
      <c r="M104" s="3">
        <v>42.7</v>
      </c>
      <c r="N104" s="3">
        <v>36.35</v>
      </c>
      <c r="O104" s="3">
        <v>33.76</v>
      </c>
      <c r="P104" s="3">
        <v>31.78</v>
      </c>
      <c r="Q104" s="3">
        <v>32.049999999999997</v>
      </c>
      <c r="R104" s="3">
        <v>35.86</v>
      </c>
      <c r="S104" s="3">
        <v>32.4</v>
      </c>
      <c r="T104" s="3">
        <v>21.09</v>
      </c>
      <c r="U104" s="3">
        <v>20.46</v>
      </c>
      <c r="V104" s="3" t="s">
        <v>63</v>
      </c>
    </row>
    <row r="105" spans="1:22" x14ac:dyDescent="0.2">
      <c r="A105" s="3" t="s">
        <v>443</v>
      </c>
      <c r="B105" s="3" t="s">
        <v>12</v>
      </c>
      <c r="C105" s="3" t="s">
        <v>12</v>
      </c>
      <c r="D105" s="3">
        <v>295.18</v>
      </c>
      <c r="E105" s="3" t="s">
        <v>12</v>
      </c>
      <c r="F105" s="3" t="s">
        <v>12</v>
      </c>
      <c r="G105" s="3" t="s">
        <v>12</v>
      </c>
      <c r="H105" s="3">
        <v>297.44</v>
      </c>
      <c r="I105" s="3" t="s">
        <v>12</v>
      </c>
      <c r="J105" s="3" t="s">
        <v>12</v>
      </c>
      <c r="K105" s="3" t="s">
        <v>12</v>
      </c>
      <c r="L105" s="3">
        <v>172.46</v>
      </c>
      <c r="M105" s="3" t="s">
        <v>12</v>
      </c>
      <c r="N105" s="3" t="s">
        <v>12</v>
      </c>
      <c r="O105" s="3" t="s">
        <v>12</v>
      </c>
      <c r="P105" s="3">
        <v>117.7</v>
      </c>
      <c r="Q105" s="3" t="s">
        <v>12</v>
      </c>
      <c r="R105" s="3" t="s">
        <v>12</v>
      </c>
      <c r="S105" s="3" t="s">
        <v>12</v>
      </c>
      <c r="T105" s="3">
        <v>121.33</v>
      </c>
      <c r="U105" s="3" t="s">
        <v>12</v>
      </c>
      <c r="V105" s="3" t="s">
        <v>63</v>
      </c>
    </row>
    <row r="106" spans="1:22" x14ac:dyDescent="0.2">
      <c r="A106" s="3" t="s">
        <v>448</v>
      </c>
      <c r="B106" s="3" t="s">
        <v>12</v>
      </c>
      <c r="C106" s="3" t="s">
        <v>12</v>
      </c>
      <c r="D106" s="3">
        <v>933.19</v>
      </c>
      <c r="E106" s="3" t="s">
        <v>12</v>
      </c>
      <c r="F106" s="3" t="s">
        <v>12</v>
      </c>
      <c r="G106" s="3" t="s">
        <v>12</v>
      </c>
      <c r="H106" s="3">
        <v>699.05</v>
      </c>
      <c r="I106" s="3" t="s">
        <v>12</v>
      </c>
      <c r="J106" s="3" t="s">
        <v>12</v>
      </c>
      <c r="K106" s="3" t="s">
        <v>12</v>
      </c>
      <c r="L106" s="3">
        <v>492.51</v>
      </c>
      <c r="M106" s="3" t="s">
        <v>12</v>
      </c>
      <c r="N106" s="3" t="s">
        <v>12</v>
      </c>
      <c r="O106" s="3" t="s">
        <v>12</v>
      </c>
      <c r="P106" s="3">
        <v>383.88</v>
      </c>
      <c r="Q106" s="3" t="s">
        <v>12</v>
      </c>
      <c r="R106" s="3" t="s">
        <v>12</v>
      </c>
      <c r="S106" s="3" t="s">
        <v>12</v>
      </c>
      <c r="T106" s="3">
        <v>354.68</v>
      </c>
      <c r="U106" s="3" t="s">
        <v>12</v>
      </c>
      <c r="V106" s="3" t="s">
        <v>63</v>
      </c>
    </row>
    <row r="107" spans="1:22" x14ac:dyDescent="0.2">
      <c r="A107" s="3" t="s">
        <v>146</v>
      </c>
      <c r="B107" s="3" t="s">
        <v>12</v>
      </c>
      <c r="C107" s="3" t="s">
        <v>12</v>
      </c>
      <c r="D107" s="4">
        <v>8187</v>
      </c>
      <c r="E107" s="3" t="s">
        <v>12</v>
      </c>
      <c r="F107" s="3" t="s">
        <v>12</v>
      </c>
      <c r="G107" s="3" t="s">
        <v>12</v>
      </c>
      <c r="H107" s="4">
        <v>6173</v>
      </c>
      <c r="I107" s="3" t="s">
        <v>12</v>
      </c>
      <c r="J107" s="3" t="s">
        <v>12</v>
      </c>
      <c r="K107" s="3" t="s">
        <v>12</v>
      </c>
      <c r="L107" s="4">
        <v>4446</v>
      </c>
      <c r="M107" s="3" t="s">
        <v>12</v>
      </c>
      <c r="N107" s="3" t="s">
        <v>12</v>
      </c>
      <c r="O107" s="3" t="s">
        <v>12</v>
      </c>
      <c r="P107" s="4">
        <v>3620</v>
      </c>
      <c r="Q107" s="3" t="s">
        <v>12</v>
      </c>
      <c r="R107" s="3" t="s">
        <v>12</v>
      </c>
      <c r="S107" s="3" t="s">
        <v>12</v>
      </c>
      <c r="T107" s="4">
        <v>3564</v>
      </c>
      <c r="U107" s="3" t="s">
        <v>12</v>
      </c>
      <c r="V107" s="3" t="s">
        <v>63</v>
      </c>
    </row>
    <row r="108" spans="1:22" x14ac:dyDescent="0.2">
      <c r="A108" s="3" t="s">
        <v>444</v>
      </c>
      <c r="B108" s="3" t="s">
        <v>12</v>
      </c>
      <c r="C108" s="3" t="s">
        <v>12</v>
      </c>
      <c r="D108" s="4">
        <v>1010</v>
      </c>
      <c r="E108" s="3" t="s">
        <v>12</v>
      </c>
      <c r="F108" s="3" t="s">
        <v>12</v>
      </c>
      <c r="G108" s="3" t="s">
        <v>12</v>
      </c>
      <c r="H108" s="4">
        <v>3058</v>
      </c>
      <c r="I108" s="3" t="s">
        <v>12</v>
      </c>
      <c r="J108" s="3" t="s">
        <v>12</v>
      </c>
      <c r="K108" s="3" t="s">
        <v>12</v>
      </c>
      <c r="L108" s="4">
        <v>2246</v>
      </c>
      <c r="M108" s="3" t="s">
        <v>12</v>
      </c>
      <c r="N108" s="3" t="s">
        <v>12</v>
      </c>
      <c r="O108" s="3" t="s">
        <v>12</v>
      </c>
      <c r="P108" s="4">
        <v>2057</v>
      </c>
      <c r="Q108" s="3" t="s">
        <v>12</v>
      </c>
      <c r="R108" s="3" t="s">
        <v>12</v>
      </c>
      <c r="S108" s="3" t="s">
        <v>12</v>
      </c>
      <c r="T108" s="4">
        <v>1491</v>
      </c>
      <c r="U108" s="3" t="s">
        <v>12</v>
      </c>
      <c r="V108" s="3" t="s">
        <v>63</v>
      </c>
    </row>
    <row r="116" spans="1:22" x14ac:dyDescent="0.2">
      <c r="A116" s="1" t="s">
        <v>97</v>
      </c>
      <c r="B116" s="1" t="s">
        <v>446</v>
      </c>
      <c r="C116" s="1" t="s">
        <v>396</v>
      </c>
      <c r="D116" s="1" t="s">
        <v>98</v>
      </c>
      <c r="E116" s="1" t="s">
        <v>99</v>
      </c>
      <c r="F116" s="1" t="s">
        <v>177</v>
      </c>
      <c r="G116" s="1" t="s">
        <v>178</v>
      </c>
      <c r="H116" s="1" t="s">
        <v>100</v>
      </c>
      <c r="I116" s="1" t="s">
        <v>179</v>
      </c>
      <c r="J116" s="1" t="s">
        <v>180</v>
      </c>
      <c r="K116" s="1" t="s">
        <v>181</v>
      </c>
      <c r="L116" s="1" t="s">
        <v>101</v>
      </c>
      <c r="M116" s="1" t="s">
        <v>182</v>
      </c>
      <c r="N116" s="1" t="s">
        <v>183</v>
      </c>
      <c r="O116" s="1" t="s">
        <v>184</v>
      </c>
      <c r="P116" s="1" t="s">
        <v>102</v>
      </c>
      <c r="Q116" s="1" t="s">
        <v>185</v>
      </c>
      <c r="R116" s="1" t="s">
        <v>186</v>
      </c>
      <c r="S116" s="1" t="s">
        <v>187</v>
      </c>
      <c r="T116" s="1" t="s">
        <v>459</v>
      </c>
      <c r="U116" s="1" t="s">
        <v>462</v>
      </c>
      <c r="V116" s="1" t="s">
        <v>439</v>
      </c>
    </row>
    <row r="117" spans="1:22" ht="30" x14ac:dyDescent="0.2">
      <c r="A117" s="1" t="s">
        <v>10</v>
      </c>
      <c r="B117" s="1" t="s">
        <v>484</v>
      </c>
      <c r="C117" s="1" t="s">
        <v>397</v>
      </c>
      <c r="D117" s="1" t="s">
        <v>379</v>
      </c>
      <c r="E117" s="1" t="s">
        <v>380</v>
      </c>
      <c r="F117" s="1" t="s">
        <v>372</v>
      </c>
      <c r="G117" s="1" t="s">
        <v>373</v>
      </c>
      <c r="H117" s="1" t="s">
        <v>371</v>
      </c>
      <c r="I117" s="1" t="s">
        <v>381</v>
      </c>
      <c r="J117" s="1" t="s">
        <v>375</v>
      </c>
      <c r="K117" s="1" t="s">
        <v>382</v>
      </c>
      <c r="L117" s="1" t="s">
        <v>383</v>
      </c>
      <c r="M117" s="1" t="s">
        <v>384</v>
      </c>
      <c r="N117" s="1" t="s">
        <v>376</v>
      </c>
      <c r="O117" s="1" t="s">
        <v>385</v>
      </c>
      <c r="P117" s="1" t="s">
        <v>386</v>
      </c>
      <c r="Q117" s="1" t="s">
        <v>387</v>
      </c>
      <c r="R117" s="1" t="s">
        <v>377</v>
      </c>
      <c r="S117" s="1" t="s">
        <v>388</v>
      </c>
      <c r="T117" s="1" t="s">
        <v>389</v>
      </c>
      <c r="U117" s="1" t="s">
        <v>390</v>
      </c>
      <c r="V117" s="1" t="s">
        <v>439</v>
      </c>
    </row>
    <row r="118" spans="1:22" x14ac:dyDescent="0.2">
      <c r="A118" s="3" t="s">
        <v>17</v>
      </c>
      <c r="B118" s="3">
        <v>43.14</v>
      </c>
      <c r="C118" s="3">
        <v>41.35</v>
      </c>
      <c r="D118" s="3">
        <v>75.290000000000006</v>
      </c>
      <c r="E118" s="4">
        <v>-1069</v>
      </c>
      <c r="F118" s="3">
        <v>-188.2</v>
      </c>
      <c r="G118" s="3">
        <v>2.4500000000000002</v>
      </c>
      <c r="H118" s="3">
        <v>-617.67999999999995</v>
      </c>
      <c r="I118" s="3">
        <v>302.52999999999997</v>
      </c>
      <c r="J118" s="3">
        <v>650.04</v>
      </c>
      <c r="K118" s="4">
        <v>1239</v>
      </c>
      <c r="L118" s="4">
        <v>1132</v>
      </c>
      <c r="M118" s="3">
        <v>897.22</v>
      </c>
      <c r="N118" s="3">
        <v>406.77</v>
      </c>
      <c r="O118" s="3">
        <v>253.38</v>
      </c>
      <c r="P118" s="3">
        <v>-3.82</v>
      </c>
      <c r="Q118" s="3">
        <v>-392.78</v>
      </c>
      <c r="R118" s="3">
        <v>424.6</v>
      </c>
      <c r="S118" s="3">
        <v>95.68</v>
      </c>
      <c r="T118" s="3">
        <v>84.64</v>
      </c>
      <c r="U118" s="3">
        <v>98.3</v>
      </c>
      <c r="V118" s="3" t="s">
        <v>63</v>
      </c>
    </row>
    <row r="119" spans="1:22" x14ac:dyDescent="0.2">
      <c r="A119" s="3" t="s">
        <v>147</v>
      </c>
      <c r="B119" s="3">
        <v>168.73</v>
      </c>
      <c r="C119" s="3">
        <v>161.75</v>
      </c>
      <c r="D119" s="3">
        <v>163.11000000000001</v>
      </c>
      <c r="E119" s="3">
        <v>163.5</v>
      </c>
      <c r="F119" s="3">
        <v>138.28</v>
      </c>
      <c r="G119" s="3">
        <v>123.75</v>
      </c>
      <c r="H119" s="3">
        <v>144.13999999999999</v>
      </c>
      <c r="I119" s="3">
        <v>105.45</v>
      </c>
      <c r="J119" s="3">
        <v>93.09</v>
      </c>
      <c r="K119" s="3">
        <v>87.27</v>
      </c>
      <c r="L119" s="3">
        <v>85.56</v>
      </c>
      <c r="M119" s="3">
        <v>77.709999999999994</v>
      </c>
      <c r="N119" s="3">
        <v>70.989999999999995</v>
      </c>
      <c r="O119" s="3">
        <v>66.569999999999993</v>
      </c>
      <c r="P119" s="3">
        <v>68.239999999999995</v>
      </c>
      <c r="Q119" s="3">
        <v>62.08</v>
      </c>
      <c r="R119" s="3">
        <v>61.42</v>
      </c>
      <c r="S119" s="3">
        <v>62.26</v>
      </c>
      <c r="T119" s="3">
        <v>61.77</v>
      </c>
      <c r="U119" s="3">
        <v>58.68</v>
      </c>
      <c r="V119" s="3" t="s">
        <v>63</v>
      </c>
    </row>
    <row r="120" spans="1:22" x14ac:dyDescent="0.2">
      <c r="A120" s="3" t="s">
        <v>392</v>
      </c>
      <c r="B120" s="3" t="s">
        <v>12</v>
      </c>
      <c r="C120" s="3" t="s">
        <v>12</v>
      </c>
      <c r="D120" s="3" t="s">
        <v>12</v>
      </c>
      <c r="E120" s="3" t="s">
        <v>12</v>
      </c>
      <c r="F120" s="3" t="s">
        <v>12</v>
      </c>
      <c r="G120" s="3" t="s">
        <v>12</v>
      </c>
      <c r="H120" s="3">
        <v>-71.19</v>
      </c>
      <c r="I120" s="3" t="s">
        <v>12</v>
      </c>
      <c r="J120" s="3" t="s">
        <v>12</v>
      </c>
      <c r="K120" s="3" t="s">
        <v>12</v>
      </c>
      <c r="L120" s="3" t="s">
        <v>12</v>
      </c>
      <c r="M120" s="3" t="s">
        <v>12</v>
      </c>
      <c r="N120" s="3" t="s">
        <v>12</v>
      </c>
      <c r="O120" s="3">
        <v>8.4</v>
      </c>
      <c r="P120" s="3">
        <v>132.44999999999999</v>
      </c>
      <c r="Q120" s="3">
        <v>0.98</v>
      </c>
      <c r="R120" s="3">
        <v>-429.41</v>
      </c>
      <c r="S120" s="3" t="s">
        <v>12</v>
      </c>
      <c r="T120" s="3">
        <v>-7.17</v>
      </c>
      <c r="U120" s="3" t="s">
        <v>12</v>
      </c>
      <c r="V120" s="3" t="s">
        <v>63</v>
      </c>
    </row>
    <row r="121" spans="1:22" ht="30" x14ac:dyDescent="0.2">
      <c r="A121" s="3" t="s">
        <v>445</v>
      </c>
      <c r="B121" s="3" t="s">
        <v>12</v>
      </c>
      <c r="C121" s="3" t="s">
        <v>12</v>
      </c>
      <c r="D121" s="3">
        <v>-62.44</v>
      </c>
      <c r="E121" s="3">
        <v>799.88</v>
      </c>
      <c r="F121" s="3">
        <v>276.01</v>
      </c>
      <c r="G121" s="3" t="s">
        <v>12</v>
      </c>
      <c r="H121" s="3" t="s">
        <v>12</v>
      </c>
      <c r="I121" s="3" t="s">
        <v>12</v>
      </c>
      <c r="J121" s="3" t="s">
        <v>12</v>
      </c>
      <c r="K121" s="3" t="s">
        <v>12</v>
      </c>
      <c r="L121" s="3" t="s">
        <v>12</v>
      </c>
      <c r="M121" s="3" t="s">
        <v>12</v>
      </c>
      <c r="N121" s="3" t="s">
        <v>12</v>
      </c>
      <c r="O121" s="3" t="s">
        <v>12</v>
      </c>
      <c r="P121" s="3" t="s">
        <v>12</v>
      </c>
      <c r="Q121" s="3" t="s">
        <v>12</v>
      </c>
      <c r="R121" s="3" t="s">
        <v>12</v>
      </c>
      <c r="S121" s="3" t="s">
        <v>12</v>
      </c>
      <c r="T121" s="3" t="s">
        <v>12</v>
      </c>
      <c r="U121" s="3" t="s">
        <v>12</v>
      </c>
      <c r="V121" s="3" t="s">
        <v>63</v>
      </c>
    </row>
    <row r="122" spans="1:22" ht="30" x14ac:dyDescent="0.2">
      <c r="A122" s="3" t="s">
        <v>482</v>
      </c>
      <c r="B122" s="3">
        <v>-0.35</v>
      </c>
      <c r="C122" s="3">
        <v>5.33</v>
      </c>
      <c r="D122" s="3">
        <v>3.09</v>
      </c>
      <c r="E122" s="3">
        <v>3.21</v>
      </c>
      <c r="F122" s="3">
        <v>17.04</v>
      </c>
      <c r="G122" s="3">
        <v>40.479999999999997</v>
      </c>
      <c r="H122" s="3">
        <v>76.599999999999994</v>
      </c>
      <c r="I122" s="3">
        <v>24.69</v>
      </c>
      <c r="J122" s="3">
        <v>-15.7</v>
      </c>
      <c r="K122" s="3">
        <v>-45.73</v>
      </c>
      <c r="L122" s="3">
        <v>-0.59</v>
      </c>
      <c r="M122" s="3">
        <v>0.8</v>
      </c>
      <c r="N122" s="3">
        <v>1.59</v>
      </c>
      <c r="O122" s="3">
        <v>1.47</v>
      </c>
      <c r="P122" s="3">
        <v>0.09</v>
      </c>
      <c r="Q122" s="3">
        <v>-1.53</v>
      </c>
      <c r="R122" s="3">
        <v>-0.62</v>
      </c>
      <c r="S122" s="3">
        <v>-1.76</v>
      </c>
      <c r="T122" s="3">
        <v>-1.26</v>
      </c>
      <c r="U122" s="3">
        <v>-2.1</v>
      </c>
      <c r="V122" s="3" t="s">
        <v>63</v>
      </c>
    </row>
    <row r="123" spans="1:22" x14ac:dyDescent="0.2">
      <c r="A123" s="3" t="s">
        <v>471</v>
      </c>
      <c r="B123" s="3">
        <v>-10.49</v>
      </c>
      <c r="C123" s="3">
        <v>-64.290000000000006</v>
      </c>
      <c r="D123" s="3">
        <v>-19</v>
      </c>
      <c r="E123" s="3">
        <v>-229.06</v>
      </c>
      <c r="F123" s="3">
        <v>-286.88</v>
      </c>
      <c r="G123" s="3">
        <v>-180.5</v>
      </c>
      <c r="H123" s="3">
        <v>-436.54</v>
      </c>
      <c r="I123" s="3">
        <v>-470.31</v>
      </c>
      <c r="J123" s="3">
        <v>-551.04999999999995</v>
      </c>
      <c r="K123" s="3">
        <v>-396.19</v>
      </c>
      <c r="L123" s="3">
        <v>-322.8</v>
      </c>
      <c r="M123" s="3">
        <v>-258.88</v>
      </c>
      <c r="N123" s="3">
        <v>-128.16</v>
      </c>
      <c r="O123" s="3">
        <v>-62.44</v>
      </c>
      <c r="P123" s="3">
        <v>-33.56</v>
      </c>
      <c r="Q123" s="3">
        <v>-27.71</v>
      </c>
      <c r="R123" s="3">
        <v>-18</v>
      </c>
      <c r="S123" s="3">
        <v>-16.510000000000002</v>
      </c>
      <c r="T123" s="3">
        <v>-43.65</v>
      </c>
      <c r="U123" s="3">
        <v>-26.15</v>
      </c>
      <c r="V123" s="3" t="s">
        <v>63</v>
      </c>
    </row>
    <row r="124" spans="1:22" x14ac:dyDescent="0.2">
      <c r="A124" s="3" t="s">
        <v>148</v>
      </c>
      <c r="B124" s="3">
        <v>10.1</v>
      </c>
      <c r="C124" s="3">
        <v>6.97</v>
      </c>
      <c r="D124" s="3">
        <v>7.7</v>
      </c>
      <c r="E124" s="3">
        <v>9</v>
      </c>
      <c r="F124" s="3">
        <v>6.12</v>
      </c>
      <c r="G124" s="3">
        <v>9.32</v>
      </c>
      <c r="H124" s="3">
        <v>7.08</v>
      </c>
      <c r="I124" s="3">
        <v>9.4499999999999993</v>
      </c>
      <c r="J124" s="3">
        <v>9.48</v>
      </c>
      <c r="K124" s="3">
        <v>10.54</v>
      </c>
      <c r="L124" s="3">
        <v>5.83</v>
      </c>
      <c r="M124" s="3">
        <v>9.42</v>
      </c>
      <c r="N124" s="3">
        <v>10.99</v>
      </c>
      <c r="O124" s="3">
        <v>4.25</v>
      </c>
      <c r="P124" s="3">
        <v>5.45</v>
      </c>
      <c r="Q124" s="3">
        <v>6.24</v>
      </c>
      <c r="R124" s="3">
        <v>5.87</v>
      </c>
      <c r="S124" s="3">
        <v>2.56</v>
      </c>
      <c r="T124" s="3">
        <v>6.97</v>
      </c>
      <c r="U124" s="3">
        <v>6.1</v>
      </c>
      <c r="V124" s="3" t="s">
        <v>63</v>
      </c>
    </row>
    <row r="125" spans="1:22" x14ac:dyDescent="0.2">
      <c r="A125" s="3" t="s">
        <v>149</v>
      </c>
      <c r="B125" s="3">
        <v>-143.57</v>
      </c>
      <c r="C125" s="3">
        <v>416.26</v>
      </c>
      <c r="D125" s="3">
        <v>-702.2</v>
      </c>
      <c r="E125" s="3">
        <v>200.76</v>
      </c>
      <c r="F125" s="3">
        <v>-112.74</v>
      </c>
      <c r="G125" s="3">
        <v>154.78</v>
      </c>
      <c r="H125" s="3">
        <v>982.66</v>
      </c>
      <c r="I125" s="3">
        <v>833.67</v>
      </c>
      <c r="J125" s="3">
        <v>279.19</v>
      </c>
      <c r="K125" s="3">
        <v>590.58000000000004</v>
      </c>
      <c r="L125" s="3">
        <v>462.27</v>
      </c>
      <c r="M125" s="3">
        <v>285.23</v>
      </c>
      <c r="N125" s="3">
        <v>160.59</v>
      </c>
      <c r="O125" s="3">
        <v>153.94</v>
      </c>
      <c r="P125" s="3">
        <v>29.5</v>
      </c>
      <c r="Q125" s="3">
        <v>8.98</v>
      </c>
      <c r="R125" s="3">
        <v>126.92</v>
      </c>
      <c r="S125" s="3">
        <v>64.91</v>
      </c>
      <c r="T125" s="3">
        <v>154.99</v>
      </c>
      <c r="U125" s="3">
        <v>129.83000000000001</v>
      </c>
      <c r="V125" s="3" t="s">
        <v>63</v>
      </c>
    </row>
    <row r="126" spans="1:22" x14ac:dyDescent="0.2">
      <c r="A126" s="3" t="s">
        <v>339</v>
      </c>
      <c r="B126" s="3" t="s">
        <v>12</v>
      </c>
      <c r="C126" s="3" t="s">
        <v>12</v>
      </c>
      <c r="D126" s="3">
        <v>555.22</v>
      </c>
      <c r="E126" s="3" t="s">
        <v>12</v>
      </c>
      <c r="F126" s="3" t="s">
        <v>12</v>
      </c>
      <c r="G126" s="3" t="s">
        <v>12</v>
      </c>
      <c r="H126" s="3">
        <v>-350.66</v>
      </c>
      <c r="I126" s="3" t="s">
        <v>12</v>
      </c>
      <c r="J126" s="3" t="s">
        <v>12</v>
      </c>
      <c r="K126" s="3" t="s">
        <v>12</v>
      </c>
      <c r="L126" s="3">
        <v>-786.12</v>
      </c>
      <c r="M126" s="3" t="s">
        <v>12</v>
      </c>
      <c r="N126" s="3" t="s">
        <v>12</v>
      </c>
      <c r="O126" s="3" t="s">
        <v>12</v>
      </c>
      <c r="P126" s="3">
        <v>-49.3</v>
      </c>
      <c r="Q126" s="3" t="s">
        <v>12</v>
      </c>
      <c r="R126" s="3" t="s">
        <v>12</v>
      </c>
      <c r="S126" s="3" t="s">
        <v>12</v>
      </c>
      <c r="T126" s="3">
        <v>100.12</v>
      </c>
      <c r="U126" s="3" t="s">
        <v>12</v>
      </c>
      <c r="V126" s="3" t="s">
        <v>63</v>
      </c>
    </row>
    <row r="127" spans="1:22" x14ac:dyDescent="0.2">
      <c r="A127" s="3" t="s">
        <v>150</v>
      </c>
      <c r="B127" s="3" t="s">
        <v>12</v>
      </c>
      <c r="C127" s="3" t="s">
        <v>12</v>
      </c>
      <c r="D127" s="4">
        <v>1560</v>
      </c>
      <c r="E127" s="3" t="s">
        <v>12</v>
      </c>
      <c r="F127" s="3" t="s">
        <v>12</v>
      </c>
      <c r="G127" s="3" t="s">
        <v>12</v>
      </c>
      <c r="H127" s="3">
        <v>-962.92</v>
      </c>
      <c r="I127" s="3" t="s">
        <v>12</v>
      </c>
      <c r="J127" s="3" t="s">
        <v>12</v>
      </c>
      <c r="K127" s="3" t="s">
        <v>12</v>
      </c>
      <c r="L127" s="4">
        <v>-1610</v>
      </c>
      <c r="M127" s="3" t="s">
        <v>12</v>
      </c>
      <c r="N127" s="3" t="s">
        <v>12</v>
      </c>
      <c r="O127" s="3" t="s">
        <v>12</v>
      </c>
      <c r="P127" s="3">
        <v>-127.4</v>
      </c>
      <c r="Q127" s="3" t="s">
        <v>12</v>
      </c>
      <c r="R127" s="3" t="s">
        <v>12</v>
      </c>
      <c r="S127" s="3" t="s">
        <v>12</v>
      </c>
      <c r="T127" s="3">
        <v>51.98</v>
      </c>
      <c r="U127" s="3" t="s">
        <v>12</v>
      </c>
      <c r="V127" s="3" t="s">
        <v>63</v>
      </c>
    </row>
    <row r="128" spans="1:22" x14ac:dyDescent="0.2">
      <c r="A128" s="3" t="s">
        <v>151</v>
      </c>
      <c r="B128" s="3" t="s">
        <v>12</v>
      </c>
      <c r="C128" s="3" t="s">
        <v>12</v>
      </c>
      <c r="D128" s="3">
        <v>-862.24</v>
      </c>
      <c r="E128" s="3" t="s">
        <v>12</v>
      </c>
      <c r="F128" s="3" t="s">
        <v>12</v>
      </c>
      <c r="G128" s="3" t="s">
        <v>12</v>
      </c>
      <c r="H128" s="3">
        <v>-283.41000000000003</v>
      </c>
      <c r="I128" s="3" t="s">
        <v>12</v>
      </c>
      <c r="J128" s="3" t="s">
        <v>12</v>
      </c>
      <c r="K128" s="3" t="s">
        <v>12</v>
      </c>
      <c r="L128" s="4">
        <v>1287</v>
      </c>
      <c r="M128" s="3" t="s">
        <v>12</v>
      </c>
      <c r="N128" s="3" t="s">
        <v>12</v>
      </c>
      <c r="O128" s="3" t="s">
        <v>12</v>
      </c>
      <c r="P128" s="3">
        <v>143.94</v>
      </c>
      <c r="Q128" s="3" t="s">
        <v>12</v>
      </c>
      <c r="R128" s="3" t="s">
        <v>12</v>
      </c>
      <c r="S128" s="3" t="s">
        <v>12</v>
      </c>
      <c r="T128" s="3">
        <v>-31.52</v>
      </c>
      <c r="U128" s="3" t="s">
        <v>12</v>
      </c>
      <c r="V128" s="3" t="s">
        <v>63</v>
      </c>
    </row>
    <row r="129" spans="1:22" ht="30" x14ac:dyDescent="0.2">
      <c r="A129" s="3" t="s">
        <v>152</v>
      </c>
      <c r="B129" s="3">
        <v>-74.77</v>
      </c>
      <c r="C129" s="3">
        <v>-21.99</v>
      </c>
      <c r="D129" s="3">
        <v>-718.31</v>
      </c>
      <c r="E129" s="3">
        <v>362.26</v>
      </c>
      <c r="F129" s="3">
        <v>513.26</v>
      </c>
      <c r="G129" s="3">
        <v>-52.32</v>
      </c>
      <c r="H129" s="4">
        <v>1414</v>
      </c>
      <c r="I129" s="3">
        <v>-176.63</v>
      </c>
      <c r="J129" s="3">
        <v>-391.34</v>
      </c>
      <c r="K129" s="3">
        <v>-764.07</v>
      </c>
      <c r="L129" s="3">
        <v>698.23</v>
      </c>
      <c r="M129" s="3">
        <v>-116.2</v>
      </c>
      <c r="N129" s="3">
        <v>-668.64</v>
      </c>
      <c r="O129" s="3">
        <v>-219.4</v>
      </c>
      <c r="P129" s="3">
        <v>-311.93</v>
      </c>
      <c r="Q129" s="3">
        <v>448.46</v>
      </c>
      <c r="R129" s="3">
        <v>57.13</v>
      </c>
      <c r="S129" s="3">
        <v>-49.19</v>
      </c>
      <c r="T129" s="3">
        <v>-39.67</v>
      </c>
      <c r="U129" s="3">
        <v>-10.86</v>
      </c>
      <c r="V129" s="3" t="s">
        <v>63</v>
      </c>
    </row>
    <row r="130" spans="1:22" x14ac:dyDescent="0.2">
      <c r="A130" s="3" t="s">
        <v>153</v>
      </c>
      <c r="B130" s="3">
        <v>-7.2</v>
      </c>
      <c r="C130" s="3">
        <v>545.38</v>
      </c>
      <c r="D130" s="3">
        <v>0.67</v>
      </c>
      <c r="E130" s="3">
        <v>240.55</v>
      </c>
      <c r="F130" s="3">
        <v>362.89</v>
      </c>
      <c r="G130" s="3">
        <v>97.95</v>
      </c>
      <c r="H130" s="3">
        <v>-98.22</v>
      </c>
      <c r="I130" s="3">
        <v>628.85</v>
      </c>
      <c r="J130" s="3">
        <v>73.709999999999994</v>
      </c>
      <c r="K130" s="3">
        <v>720.98</v>
      </c>
      <c r="L130" s="3">
        <v>952.25</v>
      </c>
      <c r="M130" s="3">
        <v>895.29</v>
      </c>
      <c r="N130" s="3">
        <v>-145.87</v>
      </c>
      <c r="O130" s="3">
        <v>206.18</v>
      </c>
      <c r="P130" s="3">
        <v>-146.33000000000001</v>
      </c>
      <c r="Q130" s="3">
        <v>104.73</v>
      </c>
      <c r="R130" s="3">
        <v>227.9</v>
      </c>
      <c r="S130" s="3">
        <v>157.94999999999999</v>
      </c>
      <c r="T130" s="3">
        <v>337.2</v>
      </c>
      <c r="U130" s="3">
        <v>253.8</v>
      </c>
      <c r="V130" s="3" t="s">
        <v>63</v>
      </c>
    </row>
    <row r="131" spans="1:22" x14ac:dyDescent="0.2">
      <c r="A131" s="3" t="s">
        <v>194</v>
      </c>
      <c r="B131" s="3" t="s">
        <v>12</v>
      </c>
      <c r="C131" s="5">
        <v>4.5678000000000001</v>
      </c>
      <c r="D131" s="3" t="s">
        <v>12</v>
      </c>
      <c r="E131" s="5">
        <v>-0.61750000000000005</v>
      </c>
      <c r="F131" s="5">
        <v>3.9234</v>
      </c>
      <c r="G131" s="5">
        <v>-0.86409999999999998</v>
      </c>
      <c r="H131" s="3" t="s">
        <v>12</v>
      </c>
      <c r="I131" s="5">
        <v>-0.29759999999999998</v>
      </c>
      <c r="J131" s="3" t="s">
        <v>12</v>
      </c>
      <c r="K131" s="5">
        <v>2.4969000000000001</v>
      </c>
      <c r="L131" s="3" t="s">
        <v>12</v>
      </c>
      <c r="M131" s="5">
        <v>7.5483000000000002</v>
      </c>
      <c r="N131" s="3" t="s">
        <v>12</v>
      </c>
      <c r="O131" s="5">
        <v>0.30530000000000002</v>
      </c>
      <c r="P131" s="3" t="s">
        <v>12</v>
      </c>
      <c r="Q131" s="5">
        <v>-0.58730000000000004</v>
      </c>
      <c r="R131" s="5">
        <v>3.3111999999999999</v>
      </c>
      <c r="S131" s="5">
        <v>1.8700000000000001E-2</v>
      </c>
      <c r="T131" s="5">
        <v>-9.7799999999999998E-2</v>
      </c>
      <c r="U131" s="5">
        <v>0.73419999999999996</v>
      </c>
      <c r="V131" s="3" t="s">
        <v>63</v>
      </c>
    </row>
    <row r="132" spans="1:22" x14ac:dyDescent="0.2">
      <c r="A132" s="3" t="s">
        <v>154</v>
      </c>
      <c r="B132" s="3">
        <v>-119.63</v>
      </c>
      <c r="C132" s="3">
        <v>-182.62</v>
      </c>
      <c r="D132" s="3">
        <v>-355.73</v>
      </c>
      <c r="E132" s="3">
        <v>-303.13</v>
      </c>
      <c r="F132" s="3">
        <v>-447.61</v>
      </c>
      <c r="G132" s="3">
        <v>-579.32000000000005</v>
      </c>
      <c r="H132" s="3">
        <v>-684.09</v>
      </c>
      <c r="I132" s="3">
        <v>-545.9</v>
      </c>
      <c r="J132" s="3">
        <v>-503.69</v>
      </c>
      <c r="K132" s="3">
        <v>-415.61</v>
      </c>
      <c r="L132" s="3">
        <v>-445.71</v>
      </c>
      <c r="M132" s="3">
        <v>-313.33</v>
      </c>
      <c r="N132" s="3">
        <v>-270.91000000000003</v>
      </c>
      <c r="O132" s="3">
        <v>-231.7</v>
      </c>
      <c r="P132" s="3">
        <v>-300.93</v>
      </c>
      <c r="Q132" s="3">
        <v>-255.82</v>
      </c>
      <c r="R132" s="3">
        <v>-217.23</v>
      </c>
      <c r="S132" s="3">
        <v>-179.68</v>
      </c>
      <c r="T132" s="3">
        <v>-229.11</v>
      </c>
      <c r="U132" s="3">
        <v>-202.38</v>
      </c>
      <c r="V132" s="3" t="s">
        <v>63</v>
      </c>
    </row>
    <row r="133" spans="1:22" x14ac:dyDescent="0.2">
      <c r="A133" s="3" t="s">
        <v>216</v>
      </c>
      <c r="B133" s="3">
        <v>23.75</v>
      </c>
      <c r="C133" s="3" t="s">
        <v>12</v>
      </c>
      <c r="D133" s="3">
        <v>29.1</v>
      </c>
      <c r="E133" s="3" t="s">
        <v>12</v>
      </c>
      <c r="F133" s="3" t="s">
        <v>12</v>
      </c>
      <c r="G133" s="3" t="s">
        <v>12</v>
      </c>
      <c r="H133" s="3" t="s">
        <v>12</v>
      </c>
      <c r="I133" s="3" t="s">
        <v>12</v>
      </c>
      <c r="J133" s="3" t="s">
        <v>12</v>
      </c>
      <c r="K133" s="3" t="s">
        <v>12</v>
      </c>
      <c r="L133" s="3" t="s">
        <v>12</v>
      </c>
      <c r="M133" s="3" t="s">
        <v>12</v>
      </c>
      <c r="N133" s="3" t="s">
        <v>12</v>
      </c>
      <c r="O133" s="3" t="s">
        <v>12</v>
      </c>
      <c r="P133" s="3" t="s">
        <v>12</v>
      </c>
      <c r="Q133" s="3" t="s">
        <v>12</v>
      </c>
      <c r="R133" s="3" t="s">
        <v>12</v>
      </c>
      <c r="S133" s="3" t="s">
        <v>12</v>
      </c>
      <c r="T133" s="3" t="s">
        <v>12</v>
      </c>
      <c r="U133" s="3" t="s">
        <v>12</v>
      </c>
      <c r="V133" s="3" t="s">
        <v>63</v>
      </c>
    </row>
    <row r="134" spans="1:22" x14ac:dyDescent="0.2">
      <c r="A134" s="3" t="s">
        <v>449</v>
      </c>
      <c r="B134" s="3" t="s">
        <v>12</v>
      </c>
      <c r="C134" s="3" t="s">
        <v>12</v>
      </c>
      <c r="D134" s="3" t="s">
        <v>12</v>
      </c>
      <c r="E134" s="3" t="s">
        <v>12</v>
      </c>
      <c r="F134" s="3" t="s">
        <v>12</v>
      </c>
      <c r="G134" s="3" t="s">
        <v>12</v>
      </c>
      <c r="H134" s="3">
        <v>-383.02</v>
      </c>
      <c r="I134" s="3">
        <v>-34.97</v>
      </c>
      <c r="J134" s="3">
        <v>-8.24</v>
      </c>
      <c r="K134" s="3" t="s">
        <v>12</v>
      </c>
      <c r="L134" s="3">
        <v>-162.24</v>
      </c>
      <c r="M134" s="3" t="s">
        <v>12</v>
      </c>
      <c r="N134" s="3" t="s">
        <v>12</v>
      </c>
      <c r="O134" s="3" t="s">
        <v>12</v>
      </c>
      <c r="P134" s="3" t="s">
        <v>12</v>
      </c>
      <c r="Q134" s="3" t="s">
        <v>12</v>
      </c>
      <c r="R134" s="3" t="s">
        <v>12</v>
      </c>
      <c r="S134" s="3" t="s">
        <v>12</v>
      </c>
      <c r="T134" s="3" t="s">
        <v>12</v>
      </c>
      <c r="U134" s="3" t="s">
        <v>12</v>
      </c>
      <c r="V134" s="3" t="s">
        <v>63</v>
      </c>
    </row>
    <row r="135" spans="1:22" x14ac:dyDescent="0.2">
      <c r="A135" s="3" t="s">
        <v>472</v>
      </c>
      <c r="B135" s="3" t="s">
        <v>12</v>
      </c>
      <c r="C135" s="3" t="s">
        <v>12</v>
      </c>
      <c r="D135" s="3" t="s">
        <v>12</v>
      </c>
      <c r="E135" s="3" t="s">
        <v>12</v>
      </c>
      <c r="F135" s="3" t="s">
        <v>12</v>
      </c>
      <c r="G135" s="3" t="s">
        <v>12</v>
      </c>
      <c r="H135" s="3" t="s">
        <v>12</v>
      </c>
      <c r="I135" s="3" t="s">
        <v>12</v>
      </c>
      <c r="J135" s="3" t="s">
        <v>12</v>
      </c>
      <c r="K135" s="3" t="s">
        <v>12</v>
      </c>
      <c r="L135" s="3" t="s">
        <v>12</v>
      </c>
      <c r="M135" s="3" t="s">
        <v>12</v>
      </c>
      <c r="N135" s="3" t="s">
        <v>12</v>
      </c>
      <c r="O135" s="3" t="s">
        <v>12</v>
      </c>
      <c r="P135" s="3" t="s">
        <v>12</v>
      </c>
      <c r="Q135" s="3">
        <v>-0.68</v>
      </c>
      <c r="R135" s="3">
        <v>290.47000000000003</v>
      </c>
      <c r="S135" s="3" t="s">
        <v>12</v>
      </c>
      <c r="T135" s="3" t="s">
        <v>12</v>
      </c>
      <c r="U135" s="3" t="s">
        <v>12</v>
      </c>
      <c r="V135" s="3" t="s">
        <v>63</v>
      </c>
    </row>
    <row r="136" spans="1:22" x14ac:dyDescent="0.2">
      <c r="A136" s="3" t="s">
        <v>394</v>
      </c>
      <c r="B136" s="3">
        <v>287.52999999999997</v>
      </c>
      <c r="C136" s="3">
        <v>3.32</v>
      </c>
      <c r="D136" s="3">
        <v>-1.18</v>
      </c>
      <c r="E136" s="3">
        <v>1</v>
      </c>
      <c r="F136" s="3">
        <v>-2.39</v>
      </c>
      <c r="G136" s="3">
        <v>84.82</v>
      </c>
      <c r="H136" s="3">
        <v>1.58</v>
      </c>
      <c r="I136" s="3">
        <v>-82.06</v>
      </c>
      <c r="J136" s="3">
        <v>-1.77</v>
      </c>
      <c r="K136" s="3">
        <v>-123.4</v>
      </c>
      <c r="L136" s="3">
        <v>-1.39</v>
      </c>
      <c r="M136" s="3">
        <v>-0.01</v>
      </c>
      <c r="N136" s="3">
        <v>-0.97</v>
      </c>
      <c r="O136" s="3">
        <v>3.61</v>
      </c>
      <c r="P136" s="3">
        <v>-6.84</v>
      </c>
      <c r="Q136" s="3">
        <v>-0.15</v>
      </c>
      <c r="R136" s="3">
        <v>-0.69</v>
      </c>
      <c r="S136" s="3">
        <v>4.96</v>
      </c>
      <c r="T136" s="3">
        <v>9.0500000000000007</v>
      </c>
      <c r="U136" s="3">
        <v>-0.59</v>
      </c>
      <c r="V136" s="3" t="s">
        <v>63</v>
      </c>
    </row>
    <row r="137" spans="1:22" x14ac:dyDescent="0.2">
      <c r="A137" s="3" t="s">
        <v>155</v>
      </c>
      <c r="B137" s="3">
        <v>171.26</v>
      </c>
      <c r="C137" s="3" t="s">
        <v>12</v>
      </c>
      <c r="D137" s="3" t="s">
        <v>12</v>
      </c>
      <c r="E137" s="3" t="s">
        <v>12</v>
      </c>
      <c r="F137" s="3" t="s">
        <v>12</v>
      </c>
      <c r="G137" s="3" t="s">
        <v>12</v>
      </c>
      <c r="H137" s="3" t="s">
        <v>12</v>
      </c>
      <c r="I137" s="3" t="s">
        <v>12</v>
      </c>
      <c r="J137" s="3" t="s">
        <v>12</v>
      </c>
      <c r="K137" s="3" t="s">
        <v>12</v>
      </c>
      <c r="L137" s="3" t="s">
        <v>12</v>
      </c>
      <c r="M137" s="3" t="s">
        <v>12</v>
      </c>
      <c r="N137" s="3" t="s">
        <v>12</v>
      </c>
      <c r="O137" s="3" t="s">
        <v>12</v>
      </c>
      <c r="P137" s="3" t="s">
        <v>12</v>
      </c>
      <c r="Q137" s="3" t="s">
        <v>12</v>
      </c>
      <c r="R137" s="3" t="s">
        <v>12</v>
      </c>
      <c r="S137" s="3" t="s">
        <v>12</v>
      </c>
      <c r="T137" s="3" t="s">
        <v>12</v>
      </c>
      <c r="U137" s="3" t="s">
        <v>12</v>
      </c>
      <c r="V137" s="3" t="s">
        <v>63</v>
      </c>
    </row>
    <row r="138" spans="1:22" x14ac:dyDescent="0.2">
      <c r="A138" s="3" t="s">
        <v>156</v>
      </c>
      <c r="B138" s="3">
        <v>362.92</v>
      </c>
      <c r="C138" s="3">
        <v>-179.3</v>
      </c>
      <c r="D138" s="3">
        <v>-327.81</v>
      </c>
      <c r="E138" s="3">
        <v>-302.12</v>
      </c>
      <c r="F138" s="3">
        <v>-450</v>
      </c>
      <c r="G138" s="3">
        <v>-494.5</v>
      </c>
      <c r="H138" s="4">
        <v>-1066</v>
      </c>
      <c r="I138" s="3">
        <v>-662.93</v>
      </c>
      <c r="J138" s="3">
        <v>-513.70000000000005</v>
      </c>
      <c r="K138" s="3">
        <v>-539.01</v>
      </c>
      <c r="L138" s="3">
        <v>-609.34</v>
      </c>
      <c r="M138" s="3">
        <v>-313.33999999999997</v>
      </c>
      <c r="N138" s="3">
        <v>-271.88</v>
      </c>
      <c r="O138" s="3">
        <v>-228.09</v>
      </c>
      <c r="P138" s="3">
        <v>-307.76</v>
      </c>
      <c r="Q138" s="3">
        <v>-256.64999999999998</v>
      </c>
      <c r="R138" s="3">
        <v>72.540000000000006</v>
      </c>
      <c r="S138" s="3">
        <v>-174.72</v>
      </c>
      <c r="T138" s="3">
        <v>-220.05</v>
      </c>
      <c r="U138" s="3">
        <v>-202.97</v>
      </c>
      <c r="V138" s="3" t="s">
        <v>63</v>
      </c>
    </row>
    <row r="139" spans="1:22" x14ac:dyDescent="0.2">
      <c r="A139" s="3" t="s">
        <v>378</v>
      </c>
      <c r="B139" s="3" t="s">
        <v>12</v>
      </c>
      <c r="C139" s="3" t="s">
        <v>12</v>
      </c>
      <c r="D139" s="3" t="s">
        <v>12</v>
      </c>
      <c r="E139" s="3" t="s">
        <v>12</v>
      </c>
      <c r="F139" s="3" t="s">
        <v>12</v>
      </c>
      <c r="G139" s="3">
        <v>29.02</v>
      </c>
      <c r="H139" s="3" t="s">
        <v>12</v>
      </c>
      <c r="I139" s="3" t="s">
        <v>12</v>
      </c>
      <c r="J139" s="3" t="s">
        <v>12</v>
      </c>
      <c r="K139" s="3" t="s">
        <v>12</v>
      </c>
      <c r="L139" s="3" t="s">
        <v>12</v>
      </c>
      <c r="M139" s="3" t="s">
        <v>12</v>
      </c>
      <c r="N139" s="3" t="s">
        <v>12</v>
      </c>
      <c r="O139" s="3">
        <v>280</v>
      </c>
      <c r="P139" s="3" t="s">
        <v>12</v>
      </c>
      <c r="Q139" s="3" t="s">
        <v>12</v>
      </c>
      <c r="R139" s="3" t="s">
        <v>12</v>
      </c>
      <c r="S139" s="3" t="s">
        <v>12</v>
      </c>
      <c r="T139" s="3" t="s">
        <v>12</v>
      </c>
      <c r="U139" s="3" t="s">
        <v>12</v>
      </c>
      <c r="V139" s="3" t="s">
        <v>63</v>
      </c>
    </row>
    <row r="140" spans="1:22" x14ac:dyDescent="0.2">
      <c r="A140" s="3" t="s">
        <v>157</v>
      </c>
      <c r="B140" s="3">
        <v>19.489999999999998</v>
      </c>
      <c r="C140" s="3" t="s">
        <v>12</v>
      </c>
      <c r="D140" s="3">
        <v>28.04</v>
      </c>
      <c r="E140" s="3">
        <v>27.95</v>
      </c>
      <c r="F140" s="3">
        <v>27.43</v>
      </c>
      <c r="G140" s="3">
        <v>29.02</v>
      </c>
      <c r="H140" s="3">
        <v>500.27</v>
      </c>
      <c r="I140" s="3">
        <v>172.79</v>
      </c>
      <c r="J140" s="3">
        <v>300</v>
      </c>
      <c r="K140" s="3" t="s">
        <v>12</v>
      </c>
      <c r="L140" s="3" t="s">
        <v>12</v>
      </c>
      <c r="M140" s="3" t="s">
        <v>12</v>
      </c>
      <c r="N140" s="4">
        <v>1684</v>
      </c>
      <c r="O140" s="3">
        <v>280</v>
      </c>
      <c r="P140" s="3">
        <v>60.99</v>
      </c>
      <c r="Q140" s="3" t="s">
        <v>12</v>
      </c>
      <c r="R140" s="3" t="s">
        <v>12</v>
      </c>
      <c r="S140" s="3" t="s">
        <v>12</v>
      </c>
      <c r="T140" s="3">
        <v>-65.150000000000006</v>
      </c>
      <c r="U140" s="3">
        <v>189.83</v>
      </c>
      <c r="V140" s="3" t="s">
        <v>63</v>
      </c>
    </row>
    <row r="141" spans="1:22" x14ac:dyDescent="0.2">
      <c r="A141" s="3" t="s">
        <v>158</v>
      </c>
      <c r="B141" s="3" t="s">
        <v>12</v>
      </c>
      <c r="C141" s="3">
        <v>-10.81</v>
      </c>
      <c r="D141" s="3" t="s">
        <v>12</v>
      </c>
      <c r="E141" s="3" t="s">
        <v>12</v>
      </c>
      <c r="F141" s="3" t="s">
        <v>12</v>
      </c>
      <c r="G141" s="3">
        <v>-649.77</v>
      </c>
      <c r="H141" s="3" t="s">
        <v>12</v>
      </c>
      <c r="I141" s="3" t="s">
        <v>12</v>
      </c>
      <c r="J141" s="3" t="s">
        <v>12</v>
      </c>
      <c r="K141" s="3">
        <v>-0.71</v>
      </c>
      <c r="L141" s="3" t="s">
        <v>12</v>
      </c>
      <c r="M141" s="3" t="s">
        <v>12</v>
      </c>
      <c r="N141" s="3" t="s">
        <v>12</v>
      </c>
      <c r="O141" s="3">
        <v>-166.62</v>
      </c>
      <c r="P141" s="3" t="s">
        <v>12</v>
      </c>
      <c r="Q141" s="3" t="s">
        <v>12</v>
      </c>
      <c r="R141" s="3" t="s">
        <v>12</v>
      </c>
      <c r="S141" s="4">
        <v>-1500</v>
      </c>
      <c r="T141" s="3" t="s">
        <v>12</v>
      </c>
      <c r="U141" s="3" t="s">
        <v>12</v>
      </c>
      <c r="V141" s="3" t="s">
        <v>63</v>
      </c>
    </row>
    <row r="142" spans="1:22" x14ac:dyDescent="0.2">
      <c r="A142" s="3" t="s">
        <v>159</v>
      </c>
      <c r="B142" s="3">
        <v>-20.72</v>
      </c>
      <c r="C142" s="3">
        <v>-10.81</v>
      </c>
      <c r="D142" s="3">
        <v>-30.44</v>
      </c>
      <c r="E142" s="3">
        <v>-29.99</v>
      </c>
      <c r="F142" s="3">
        <v>-34.07</v>
      </c>
      <c r="G142" s="3">
        <v>-649.77</v>
      </c>
      <c r="H142" s="3">
        <v>-28.86</v>
      </c>
      <c r="I142" s="3">
        <v>1.5</v>
      </c>
      <c r="J142" s="3">
        <v>-0.79</v>
      </c>
      <c r="K142" s="3">
        <v>-0.71</v>
      </c>
      <c r="L142" s="3">
        <v>-250.6</v>
      </c>
      <c r="M142" s="3">
        <v>-0.47</v>
      </c>
      <c r="N142" s="3">
        <v>-678.99</v>
      </c>
      <c r="O142" s="3">
        <v>-166.62</v>
      </c>
      <c r="P142" s="3">
        <v>327.29000000000002</v>
      </c>
      <c r="Q142" s="3">
        <v>-1.98</v>
      </c>
      <c r="R142" s="3">
        <v>1</v>
      </c>
      <c r="S142" s="4">
        <v>-1500</v>
      </c>
      <c r="T142" s="3" t="s">
        <v>12</v>
      </c>
      <c r="U142" s="3">
        <v>-250</v>
      </c>
      <c r="V142" s="3" t="s">
        <v>63</v>
      </c>
    </row>
    <row r="143" spans="1:22" x14ac:dyDescent="0.2">
      <c r="A143" s="3" t="s">
        <v>160</v>
      </c>
      <c r="B143" s="3">
        <v>-1.23</v>
      </c>
      <c r="C143" s="3">
        <v>-10.81</v>
      </c>
      <c r="D143" s="3">
        <v>-2.4</v>
      </c>
      <c r="E143" s="3">
        <v>-2.04</v>
      </c>
      <c r="F143" s="3">
        <v>-6.64</v>
      </c>
      <c r="G143" s="3">
        <v>-620.75</v>
      </c>
      <c r="H143" s="3">
        <v>471.41</v>
      </c>
      <c r="I143" s="3">
        <v>174.29</v>
      </c>
      <c r="J143" s="3">
        <v>299.20999999999998</v>
      </c>
      <c r="K143" s="3">
        <v>-0.71</v>
      </c>
      <c r="L143" s="3">
        <v>-250.6</v>
      </c>
      <c r="M143" s="3">
        <v>-0.47</v>
      </c>
      <c r="N143" s="4">
        <v>1005</v>
      </c>
      <c r="O143" s="3">
        <v>113.39</v>
      </c>
      <c r="P143" s="3">
        <v>388.28</v>
      </c>
      <c r="Q143" s="3">
        <v>-1.98</v>
      </c>
      <c r="R143" s="3">
        <v>1</v>
      </c>
      <c r="S143" s="4">
        <v>-1500</v>
      </c>
      <c r="T143" s="3">
        <v>-65.150000000000006</v>
      </c>
      <c r="U143" s="3">
        <v>-60.17</v>
      </c>
      <c r="V143" s="3" t="s">
        <v>63</v>
      </c>
    </row>
    <row r="144" spans="1:22" x14ac:dyDescent="0.2">
      <c r="A144" s="3" t="s">
        <v>204</v>
      </c>
      <c r="B144" s="3" t="s">
        <v>12</v>
      </c>
      <c r="C144" s="3">
        <v>1.19</v>
      </c>
      <c r="D144" s="3">
        <v>0.26</v>
      </c>
      <c r="E144" s="3">
        <v>0.03</v>
      </c>
      <c r="F144" s="3" t="s">
        <v>12</v>
      </c>
      <c r="G144" s="3">
        <v>0.09</v>
      </c>
      <c r="H144" s="3">
        <v>7.0000000000000007E-2</v>
      </c>
      <c r="I144" s="3">
        <v>0.04</v>
      </c>
      <c r="J144" s="3" t="s">
        <v>12</v>
      </c>
      <c r="K144" s="3">
        <v>0.08</v>
      </c>
      <c r="L144" s="3">
        <v>1.19</v>
      </c>
      <c r="M144" s="3">
        <v>0.74</v>
      </c>
      <c r="N144" s="3">
        <v>0.44</v>
      </c>
      <c r="O144" s="3">
        <v>0.42</v>
      </c>
      <c r="P144" s="3">
        <v>2.17</v>
      </c>
      <c r="Q144" s="3">
        <v>1.89</v>
      </c>
      <c r="R144" s="3">
        <v>13.15</v>
      </c>
      <c r="S144" s="4">
        <v>1455</v>
      </c>
      <c r="T144" s="3">
        <v>23.51</v>
      </c>
      <c r="U144" s="3">
        <v>6.12</v>
      </c>
      <c r="V144" s="3" t="s">
        <v>63</v>
      </c>
    </row>
    <row r="145" spans="1:22" x14ac:dyDescent="0.2">
      <c r="A145" s="3" t="s">
        <v>195</v>
      </c>
      <c r="B145" s="3">
        <v>-0.04</v>
      </c>
      <c r="C145" s="3">
        <v>-2.9</v>
      </c>
      <c r="D145" s="3">
        <v>-1</v>
      </c>
      <c r="E145" s="3">
        <v>-0.22</v>
      </c>
      <c r="F145" s="3">
        <v>-0.06</v>
      </c>
      <c r="G145" s="3">
        <v>-10.62</v>
      </c>
      <c r="H145" s="3">
        <v>-1.3</v>
      </c>
      <c r="I145" s="3">
        <v>-1.26</v>
      </c>
      <c r="J145" s="3">
        <v>-6.29</v>
      </c>
      <c r="K145" s="3">
        <v>-18.62</v>
      </c>
      <c r="L145" s="3">
        <v>-1.19</v>
      </c>
      <c r="M145" s="3">
        <v>-1.57</v>
      </c>
      <c r="N145" s="3">
        <v>-0.16</v>
      </c>
      <c r="O145" s="3">
        <v>-10.42</v>
      </c>
      <c r="P145" s="3">
        <v>-0.39</v>
      </c>
      <c r="Q145" s="3">
        <v>-0.71</v>
      </c>
      <c r="R145" s="3">
        <v>-0.19</v>
      </c>
      <c r="S145" s="3">
        <v>-6.86</v>
      </c>
      <c r="T145" s="3">
        <v>-0.34</v>
      </c>
      <c r="U145" s="3">
        <v>-0.78</v>
      </c>
      <c r="V145" s="3" t="s">
        <v>63</v>
      </c>
    </row>
    <row r="146" spans="1:22" x14ac:dyDescent="0.2">
      <c r="A146" s="3" t="s">
        <v>483</v>
      </c>
      <c r="B146" s="3">
        <v>-41.69</v>
      </c>
      <c r="C146" s="3">
        <v>-41.69</v>
      </c>
      <c r="D146" s="3">
        <v>-41.69</v>
      </c>
      <c r="E146" s="3">
        <v>-41.68</v>
      </c>
      <c r="F146" s="3">
        <v>-39.380000000000003</v>
      </c>
      <c r="G146" s="3" t="s">
        <v>12</v>
      </c>
      <c r="H146" s="3" t="s">
        <v>12</v>
      </c>
      <c r="I146" s="3" t="s">
        <v>12</v>
      </c>
      <c r="J146" s="3" t="s">
        <v>12</v>
      </c>
      <c r="K146" s="3" t="s">
        <v>12</v>
      </c>
      <c r="L146" s="3" t="s">
        <v>12</v>
      </c>
      <c r="M146" s="3" t="s">
        <v>12</v>
      </c>
      <c r="N146" s="3" t="s">
        <v>12</v>
      </c>
      <c r="O146" s="3" t="s">
        <v>12</v>
      </c>
      <c r="P146" s="3" t="s">
        <v>12</v>
      </c>
      <c r="Q146" s="3" t="s">
        <v>12</v>
      </c>
      <c r="R146" s="3" t="s">
        <v>12</v>
      </c>
      <c r="S146" s="3" t="s">
        <v>12</v>
      </c>
      <c r="T146" s="3" t="s">
        <v>12</v>
      </c>
      <c r="U146" s="3" t="s">
        <v>12</v>
      </c>
      <c r="V146" s="3" t="s">
        <v>63</v>
      </c>
    </row>
    <row r="147" spans="1:22" x14ac:dyDescent="0.2">
      <c r="A147" s="3" t="s">
        <v>452</v>
      </c>
      <c r="B147" s="3">
        <v>-47.64</v>
      </c>
      <c r="C147" s="3">
        <v>-47.61</v>
      </c>
      <c r="D147" s="3">
        <v>-47.6</v>
      </c>
      <c r="E147" s="3">
        <v>-47.01</v>
      </c>
      <c r="F147" s="3">
        <v>-47.01</v>
      </c>
      <c r="G147" s="3">
        <v>-46.91</v>
      </c>
      <c r="H147" s="3">
        <v>-46.94</v>
      </c>
      <c r="I147" s="3">
        <v>-46.93</v>
      </c>
      <c r="J147" s="3">
        <v>-47.04</v>
      </c>
      <c r="K147" s="3">
        <v>-46.28</v>
      </c>
      <c r="L147" s="3">
        <v>-46.26</v>
      </c>
      <c r="M147" s="3">
        <v>-46.27</v>
      </c>
      <c r="N147" s="3">
        <v>-46.26</v>
      </c>
      <c r="O147" s="3">
        <v>-45.64</v>
      </c>
      <c r="P147" s="3">
        <v>-45.62</v>
      </c>
      <c r="Q147" s="3">
        <v>-45.6</v>
      </c>
      <c r="R147" s="3">
        <v>-45.51</v>
      </c>
      <c r="S147" s="3">
        <v>-41.13</v>
      </c>
      <c r="T147" s="3">
        <v>-40.98</v>
      </c>
      <c r="U147" s="3">
        <v>-40.93</v>
      </c>
      <c r="V147" s="3" t="s">
        <v>63</v>
      </c>
    </row>
    <row r="148" spans="1:22" x14ac:dyDescent="0.2">
      <c r="A148" s="3" t="s">
        <v>280</v>
      </c>
      <c r="B148" s="3">
        <v>-89.32</v>
      </c>
      <c r="C148" s="3">
        <v>-89.3</v>
      </c>
      <c r="D148" s="3">
        <v>-89.29</v>
      </c>
      <c r="E148" s="3">
        <v>-88.7</v>
      </c>
      <c r="F148" s="3">
        <v>-86.38</v>
      </c>
      <c r="G148" s="3">
        <v>-46.91</v>
      </c>
      <c r="H148" s="3">
        <v>-46.94</v>
      </c>
      <c r="I148" s="3">
        <v>-46.93</v>
      </c>
      <c r="J148" s="3">
        <v>-47.04</v>
      </c>
      <c r="K148" s="3">
        <v>-46.28</v>
      </c>
      <c r="L148" s="3">
        <v>-46.26</v>
      </c>
      <c r="M148" s="3">
        <v>-46.27</v>
      </c>
      <c r="N148" s="3">
        <v>-46.26</v>
      </c>
      <c r="O148" s="3">
        <v>-45.64</v>
      </c>
      <c r="P148" s="3">
        <v>-45.62</v>
      </c>
      <c r="Q148" s="3">
        <v>-45.6</v>
      </c>
      <c r="R148" s="3">
        <v>-45.51</v>
      </c>
      <c r="S148" s="3">
        <v>-41.13</v>
      </c>
      <c r="T148" s="3">
        <v>-40.98</v>
      </c>
      <c r="U148" s="3">
        <v>-40.93</v>
      </c>
      <c r="V148" s="3" t="s">
        <v>63</v>
      </c>
    </row>
    <row r="149" spans="1:22" x14ac:dyDescent="0.2">
      <c r="A149" s="3" t="s">
        <v>161</v>
      </c>
      <c r="B149" s="3">
        <v>-0.04</v>
      </c>
      <c r="C149" s="3">
        <v>-18.18</v>
      </c>
      <c r="D149" s="3">
        <v>-0.45</v>
      </c>
      <c r="E149" s="3">
        <v>-19.04</v>
      </c>
      <c r="F149" s="3">
        <v>-19.64</v>
      </c>
      <c r="G149" s="3">
        <v>-1.26</v>
      </c>
      <c r="H149" s="3">
        <v>-26.24</v>
      </c>
      <c r="I149" s="3">
        <v>-26.44</v>
      </c>
      <c r="J149" s="3" t="s">
        <v>12</v>
      </c>
      <c r="K149" s="3">
        <v>-53.15</v>
      </c>
      <c r="L149" s="3">
        <v>-2.5099999999999998</v>
      </c>
      <c r="M149" s="3">
        <v>-17.71</v>
      </c>
      <c r="N149" s="3">
        <v>-40.340000000000003</v>
      </c>
      <c r="O149" s="3">
        <v>-0.13</v>
      </c>
      <c r="P149" s="3">
        <v>-35.799999999999997</v>
      </c>
      <c r="Q149" s="3">
        <v>-17.510000000000002</v>
      </c>
      <c r="R149" s="3">
        <v>-19.739999999999998</v>
      </c>
      <c r="S149" s="3">
        <v>-50.19</v>
      </c>
      <c r="T149" s="3">
        <v>-18.98</v>
      </c>
      <c r="U149" s="3">
        <v>-0.08</v>
      </c>
      <c r="V149" s="3" t="s">
        <v>63</v>
      </c>
    </row>
    <row r="150" spans="1:22" x14ac:dyDescent="0.2">
      <c r="A150" s="3" t="s">
        <v>162</v>
      </c>
      <c r="B150" s="3">
        <v>-90.63</v>
      </c>
      <c r="C150" s="3">
        <v>-120.01</v>
      </c>
      <c r="D150" s="3">
        <v>-92.88</v>
      </c>
      <c r="E150" s="3">
        <v>-109.97</v>
      </c>
      <c r="F150" s="3">
        <v>-112.72</v>
      </c>
      <c r="G150" s="4">
        <v>1557</v>
      </c>
      <c r="H150" s="3">
        <v>397</v>
      </c>
      <c r="I150" s="3">
        <v>99.7</v>
      </c>
      <c r="J150" s="3">
        <v>245.89</v>
      </c>
      <c r="K150" s="3">
        <v>-118.68</v>
      </c>
      <c r="L150" s="3">
        <v>-299.36</v>
      </c>
      <c r="M150" s="3">
        <v>-65.28</v>
      </c>
      <c r="N150" s="3">
        <v>918.91</v>
      </c>
      <c r="O150" s="3">
        <v>57.62</v>
      </c>
      <c r="P150" s="3">
        <v>308.64999999999998</v>
      </c>
      <c r="Q150" s="3">
        <v>-63.9</v>
      </c>
      <c r="R150" s="3">
        <v>-51.29</v>
      </c>
      <c r="S150" s="3">
        <v>-143.25</v>
      </c>
      <c r="T150" s="3">
        <v>-101.94</v>
      </c>
      <c r="U150" s="3">
        <v>-95.85</v>
      </c>
      <c r="V150" s="3" t="s">
        <v>63</v>
      </c>
    </row>
    <row r="151" spans="1:22" x14ac:dyDescent="0.2">
      <c r="A151" s="3" t="s">
        <v>196</v>
      </c>
      <c r="B151" s="3">
        <v>23.24</v>
      </c>
      <c r="C151" s="3">
        <v>80.209999999999994</v>
      </c>
      <c r="D151" s="3">
        <v>-52.27</v>
      </c>
      <c r="E151" s="3">
        <v>5.83</v>
      </c>
      <c r="F151" s="3">
        <v>-25.76</v>
      </c>
      <c r="G151" s="3">
        <v>5.16</v>
      </c>
      <c r="H151" s="3">
        <v>54.98</v>
      </c>
      <c r="I151" s="3">
        <v>-63.7</v>
      </c>
      <c r="J151" s="3">
        <v>207.11</v>
      </c>
      <c r="K151" s="3">
        <v>24.3</v>
      </c>
      <c r="L151" s="3">
        <v>72.8</v>
      </c>
      <c r="M151" s="3">
        <v>-64.47</v>
      </c>
      <c r="N151" s="3">
        <v>-33.9</v>
      </c>
      <c r="O151" s="3">
        <v>-11.65</v>
      </c>
      <c r="P151" s="3">
        <v>-10.33</v>
      </c>
      <c r="Q151" s="3">
        <v>-12.71</v>
      </c>
      <c r="R151" s="3">
        <v>4.55</v>
      </c>
      <c r="S151" s="3">
        <v>-16.84</v>
      </c>
      <c r="T151" s="3">
        <v>29.44</v>
      </c>
      <c r="U151" s="3">
        <v>10.4</v>
      </c>
      <c r="V151" s="3" t="s">
        <v>63</v>
      </c>
    </row>
    <row r="152" spans="1:22" x14ac:dyDescent="0.2">
      <c r="A152" s="3" t="s">
        <v>163</v>
      </c>
      <c r="B152" s="3">
        <v>288.32</v>
      </c>
      <c r="C152" s="3">
        <v>326.27999999999997</v>
      </c>
      <c r="D152" s="3">
        <v>-472.29</v>
      </c>
      <c r="E152" s="3">
        <v>-165.71</v>
      </c>
      <c r="F152" s="3">
        <v>-225.59</v>
      </c>
      <c r="G152" s="4">
        <v>1166</v>
      </c>
      <c r="H152" s="3">
        <v>-711.77</v>
      </c>
      <c r="I152" s="3">
        <v>1.93</v>
      </c>
      <c r="J152" s="3">
        <v>13</v>
      </c>
      <c r="K152" s="3">
        <v>87.59</v>
      </c>
      <c r="L152" s="3">
        <v>116.34</v>
      </c>
      <c r="M152" s="3">
        <v>452.21</v>
      </c>
      <c r="N152" s="3">
        <v>467.27</v>
      </c>
      <c r="O152" s="3">
        <v>24.05</v>
      </c>
      <c r="P152" s="3">
        <v>-155.78</v>
      </c>
      <c r="Q152" s="3">
        <v>-228.52</v>
      </c>
      <c r="R152" s="3">
        <v>253.71</v>
      </c>
      <c r="S152" s="3">
        <v>-176.87</v>
      </c>
      <c r="T152" s="3">
        <v>44.65</v>
      </c>
      <c r="U152" s="3">
        <v>-34.619999999999997</v>
      </c>
      <c r="V152" s="3" t="s">
        <v>63</v>
      </c>
    </row>
    <row r="153" spans="1:22" x14ac:dyDescent="0.2">
      <c r="A153" s="3" t="s">
        <v>6</v>
      </c>
      <c r="B153" s="3">
        <v>-126.83</v>
      </c>
      <c r="C153" s="3">
        <v>362.76</v>
      </c>
      <c r="D153" s="3">
        <v>-355.05</v>
      </c>
      <c r="E153" s="3">
        <v>-62.58</v>
      </c>
      <c r="F153" s="3">
        <v>-84.72</v>
      </c>
      <c r="G153" s="3">
        <v>-481.37</v>
      </c>
      <c r="H153" s="3">
        <v>-782.31</v>
      </c>
      <c r="I153" s="3">
        <v>82.96</v>
      </c>
      <c r="J153" s="3">
        <v>-429.98</v>
      </c>
      <c r="K153" s="3">
        <v>305.37</v>
      </c>
      <c r="L153" s="3">
        <v>506.54</v>
      </c>
      <c r="M153" s="3">
        <v>581.96</v>
      </c>
      <c r="N153" s="3">
        <v>-416.77</v>
      </c>
      <c r="O153" s="3">
        <v>-25.52</v>
      </c>
      <c r="P153" s="3">
        <v>-447.26</v>
      </c>
      <c r="Q153" s="3">
        <v>-151.09</v>
      </c>
      <c r="R153" s="3">
        <v>10.67</v>
      </c>
      <c r="S153" s="3">
        <v>-21.73</v>
      </c>
      <c r="T153" s="3">
        <v>108.09</v>
      </c>
      <c r="U153" s="3">
        <v>51.42</v>
      </c>
      <c r="V153" s="3" t="s">
        <v>63</v>
      </c>
    </row>
    <row r="154" spans="1:22" x14ac:dyDescent="0.2">
      <c r="A154" s="3" t="s">
        <v>197</v>
      </c>
      <c r="B154" s="3" t="s">
        <v>12</v>
      </c>
      <c r="C154" s="3" t="s">
        <v>12</v>
      </c>
      <c r="D154" s="3" t="s">
        <v>12</v>
      </c>
      <c r="E154" s="3" t="s">
        <v>12</v>
      </c>
      <c r="F154" s="3" t="s">
        <v>12</v>
      </c>
      <c r="G154" s="3" t="s">
        <v>12</v>
      </c>
      <c r="H154" s="3" t="s">
        <v>12</v>
      </c>
      <c r="I154" s="5">
        <v>-0.85750000000000004</v>
      </c>
      <c r="J154" s="3" t="s">
        <v>12</v>
      </c>
      <c r="K154" s="3" t="s">
        <v>12</v>
      </c>
      <c r="L154" s="3" t="s">
        <v>12</v>
      </c>
      <c r="M154" s="3" t="s">
        <v>12</v>
      </c>
      <c r="N154" s="3" t="s">
        <v>12</v>
      </c>
      <c r="O154" s="3" t="s">
        <v>12</v>
      </c>
      <c r="P154" s="3" t="s">
        <v>12</v>
      </c>
      <c r="Q154" s="3" t="s">
        <v>12</v>
      </c>
      <c r="R154" s="3" t="s">
        <v>12</v>
      </c>
      <c r="S154" s="3" t="s">
        <v>12</v>
      </c>
      <c r="T154" s="5">
        <v>-0.17100000000000001</v>
      </c>
      <c r="U154" s="3" t="s">
        <v>12</v>
      </c>
      <c r="V154" s="3" t="s">
        <v>63</v>
      </c>
    </row>
    <row r="155" spans="1:22" x14ac:dyDescent="0.2">
      <c r="A155" s="3" t="s">
        <v>114</v>
      </c>
      <c r="B155" s="5">
        <v>-9.5399999999999999E-2</v>
      </c>
      <c r="C155" s="5">
        <v>0.33689999999999998</v>
      </c>
      <c r="D155" s="5">
        <v>-0.2883</v>
      </c>
      <c r="E155" s="5">
        <v>-4.6199999999999998E-2</v>
      </c>
      <c r="F155" s="5">
        <v>-5.9200000000000003E-2</v>
      </c>
      <c r="G155" s="5">
        <v>-0.3538</v>
      </c>
      <c r="H155" s="5">
        <v>-0.33200000000000002</v>
      </c>
      <c r="I155" s="5">
        <v>3.5900000000000001E-2</v>
      </c>
      <c r="J155" s="5">
        <v>-0.18140000000000001</v>
      </c>
      <c r="K155" s="5">
        <v>0.1183</v>
      </c>
      <c r="L155" s="5">
        <v>0.1933</v>
      </c>
      <c r="M155" s="5">
        <v>0.2782</v>
      </c>
      <c r="N155" s="5">
        <v>-0.28170000000000001</v>
      </c>
      <c r="O155" s="5">
        <v>-2.2599999999999999E-2</v>
      </c>
      <c r="P155" s="5">
        <v>-0.50019999999999998</v>
      </c>
      <c r="Q155" s="5">
        <v>-0.18190000000000001</v>
      </c>
      <c r="R155" s="5">
        <v>1.38E-2</v>
      </c>
      <c r="S155" s="5">
        <v>-2.6200000000000001E-2</v>
      </c>
      <c r="T155" s="5">
        <v>0.1229</v>
      </c>
      <c r="U155" s="5">
        <v>6.88E-2</v>
      </c>
      <c r="V155" s="3" t="s">
        <v>63</v>
      </c>
    </row>
    <row r="156" spans="1:22" x14ac:dyDescent="0.2">
      <c r="A156" s="3" t="s">
        <v>18</v>
      </c>
      <c r="B156" s="3">
        <v>-1.08</v>
      </c>
      <c r="C156" s="3">
        <v>3.08</v>
      </c>
      <c r="D156" s="3">
        <v>-3.02</v>
      </c>
      <c r="E156" s="3">
        <v>-0.53</v>
      </c>
      <c r="F156" s="3">
        <v>-0.72</v>
      </c>
      <c r="G156" s="3">
        <v>-4.0999999999999996</v>
      </c>
      <c r="H156" s="3">
        <v>-6.67</v>
      </c>
      <c r="I156" s="3">
        <v>0.7</v>
      </c>
      <c r="J156" s="3">
        <v>-3.65</v>
      </c>
      <c r="K156" s="3">
        <v>2.59</v>
      </c>
      <c r="L156" s="3">
        <v>4.29</v>
      </c>
      <c r="M156" s="3">
        <v>4.9400000000000004</v>
      </c>
      <c r="N156" s="3">
        <v>-3.54</v>
      </c>
      <c r="O156" s="3">
        <v>-0.22</v>
      </c>
      <c r="P156" s="3">
        <v>-3.82</v>
      </c>
      <c r="Q156" s="3">
        <v>-1.29</v>
      </c>
      <c r="R156" s="3">
        <v>0.09</v>
      </c>
      <c r="S156" s="3">
        <v>-0.19</v>
      </c>
      <c r="T156" s="3">
        <v>1.01</v>
      </c>
      <c r="U156" s="3">
        <v>0.48</v>
      </c>
      <c r="V156" s="3" t="s">
        <v>63</v>
      </c>
    </row>
    <row r="157" spans="1:22" x14ac:dyDescent="0.2">
      <c r="A157" s="3" t="s">
        <v>164</v>
      </c>
      <c r="B157" s="3" t="s">
        <v>12</v>
      </c>
      <c r="C157" s="3" t="s">
        <v>12</v>
      </c>
      <c r="D157" s="3">
        <v>150.69</v>
      </c>
      <c r="E157" s="3" t="s">
        <v>12</v>
      </c>
      <c r="F157" s="3" t="s">
        <v>12</v>
      </c>
      <c r="G157" s="3" t="s">
        <v>12</v>
      </c>
      <c r="H157" s="3">
        <v>101.98</v>
      </c>
      <c r="I157" s="3" t="s">
        <v>12</v>
      </c>
      <c r="J157" s="3" t="s">
        <v>12</v>
      </c>
      <c r="K157" s="3" t="s">
        <v>12</v>
      </c>
      <c r="L157" s="3">
        <v>92.1</v>
      </c>
      <c r="M157" s="3" t="s">
        <v>12</v>
      </c>
      <c r="N157" s="3" t="s">
        <v>12</v>
      </c>
      <c r="O157" s="3" t="s">
        <v>12</v>
      </c>
      <c r="P157" s="3">
        <v>27.73</v>
      </c>
      <c r="Q157" s="3" t="s">
        <v>12</v>
      </c>
      <c r="R157" s="3" t="s">
        <v>12</v>
      </c>
      <c r="S157" s="3" t="s">
        <v>12</v>
      </c>
      <c r="T157" s="3">
        <v>66.38</v>
      </c>
      <c r="U157" s="3" t="s">
        <v>12</v>
      </c>
      <c r="V157" s="3" t="s">
        <v>63</v>
      </c>
    </row>
    <row r="158" spans="1:22" x14ac:dyDescent="0.2">
      <c r="A158" s="3" t="s">
        <v>165</v>
      </c>
      <c r="B158" s="3" t="s">
        <v>12</v>
      </c>
      <c r="C158" s="3" t="s">
        <v>12</v>
      </c>
      <c r="D158" s="3">
        <v>262.85000000000002</v>
      </c>
      <c r="E158" s="3" t="s">
        <v>12</v>
      </c>
      <c r="F158" s="3" t="s">
        <v>12</v>
      </c>
      <c r="G158" s="3" t="s">
        <v>12</v>
      </c>
      <c r="H158" s="3">
        <v>319.39</v>
      </c>
      <c r="I158" s="3" t="s">
        <v>12</v>
      </c>
      <c r="J158" s="3" t="s">
        <v>12</v>
      </c>
      <c r="K158" s="3" t="s">
        <v>12</v>
      </c>
      <c r="L158" s="3">
        <v>248.14</v>
      </c>
      <c r="M158" s="3" t="s">
        <v>12</v>
      </c>
      <c r="N158" s="3" t="s">
        <v>12</v>
      </c>
      <c r="O158" s="3" t="s">
        <v>12</v>
      </c>
      <c r="P158" s="3">
        <v>130.84</v>
      </c>
      <c r="Q158" s="3" t="s">
        <v>12</v>
      </c>
      <c r="R158" s="3" t="s">
        <v>12</v>
      </c>
      <c r="S158" s="3" t="s">
        <v>12</v>
      </c>
      <c r="T158" s="3">
        <v>52.1</v>
      </c>
      <c r="U158" s="3" t="s">
        <v>12</v>
      </c>
      <c r="V158" s="3" t="s">
        <v>63</v>
      </c>
    </row>
    <row r="159" spans="1:22" x14ac:dyDescent="0.2">
      <c r="A159" s="3" t="s">
        <v>166</v>
      </c>
      <c r="B159" s="3">
        <v>-54.9</v>
      </c>
      <c r="C159" s="3">
        <v>-12.7</v>
      </c>
      <c r="D159" s="3">
        <v>-160.69999999999999</v>
      </c>
      <c r="E159" s="3">
        <v>-3.12</v>
      </c>
      <c r="F159" s="3">
        <v>-172.14</v>
      </c>
      <c r="G159" s="3">
        <v>-895.52</v>
      </c>
      <c r="H159" s="3">
        <v>-719.79</v>
      </c>
      <c r="I159" s="3">
        <v>-711.15</v>
      </c>
      <c r="J159" s="3">
        <v>-196.93</v>
      </c>
      <c r="K159" s="3">
        <v>-261.27</v>
      </c>
      <c r="L159" s="3">
        <v>-67.34</v>
      </c>
      <c r="M159" s="3">
        <v>523.16</v>
      </c>
      <c r="N159" s="3">
        <v>-545.79999999999995</v>
      </c>
      <c r="O159" s="3">
        <v>-185.22</v>
      </c>
      <c r="P159" s="3">
        <v>-276.31</v>
      </c>
      <c r="Q159" s="3">
        <v>341.81</v>
      </c>
      <c r="R159" s="3">
        <v>45.21</v>
      </c>
      <c r="S159" s="3">
        <v>-47.41</v>
      </c>
      <c r="T159" s="3">
        <v>-50.8</v>
      </c>
      <c r="U159" s="3">
        <v>-29.61</v>
      </c>
      <c r="V159" s="3" t="s">
        <v>63</v>
      </c>
    </row>
    <row r="160" spans="1:22" x14ac:dyDescent="0.2">
      <c r="A160" s="3" t="s">
        <v>167</v>
      </c>
      <c r="B160" s="3">
        <v>-23.69</v>
      </c>
      <c r="C160" s="3">
        <v>17.91</v>
      </c>
      <c r="D160" s="3">
        <v>-132.76</v>
      </c>
      <c r="E160" s="3">
        <v>26.73</v>
      </c>
      <c r="F160" s="3">
        <v>-150.15</v>
      </c>
      <c r="G160" s="3">
        <v>-871.79</v>
      </c>
      <c r="H160" s="3">
        <v>-698.3</v>
      </c>
      <c r="I160" s="3">
        <v>-692.82</v>
      </c>
      <c r="J160" s="3">
        <v>-180.95</v>
      </c>
      <c r="K160" s="3">
        <v>-244.53</v>
      </c>
      <c r="L160" s="3">
        <v>-52.31</v>
      </c>
      <c r="M160" s="3">
        <v>541.71</v>
      </c>
      <c r="N160" s="3">
        <v>-531.92999999999995</v>
      </c>
      <c r="O160" s="3">
        <v>-167.83</v>
      </c>
      <c r="P160" s="3">
        <v>-272.99</v>
      </c>
      <c r="Q160" s="3">
        <v>345.02</v>
      </c>
      <c r="R160" s="3">
        <v>48.93</v>
      </c>
      <c r="S160" s="3">
        <v>-37.35</v>
      </c>
      <c r="T160" s="3">
        <v>-38.83</v>
      </c>
      <c r="U160" s="3">
        <v>-17.59</v>
      </c>
      <c r="V160" s="3" t="s">
        <v>63</v>
      </c>
    </row>
    <row r="161" spans="1:23" x14ac:dyDescent="0.2">
      <c r="A161" s="3" t="s">
        <v>168</v>
      </c>
      <c r="B161" s="3">
        <v>105.27</v>
      </c>
      <c r="C161" s="3">
        <v>-26.01</v>
      </c>
      <c r="D161" s="3">
        <v>-13.13</v>
      </c>
      <c r="E161" s="3">
        <v>-341.25</v>
      </c>
      <c r="F161" s="3">
        <v>-281.61</v>
      </c>
      <c r="G161" s="3">
        <v>327.31</v>
      </c>
      <c r="H161" s="3">
        <v>-355.89</v>
      </c>
      <c r="I161" s="3">
        <v>172.27</v>
      </c>
      <c r="J161" s="3">
        <v>3.54</v>
      </c>
      <c r="K161" s="3">
        <v>618.58000000000004</v>
      </c>
      <c r="L161" s="3">
        <v>276.93</v>
      </c>
      <c r="M161" s="3">
        <v>-212.25</v>
      </c>
      <c r="N161" s="3">
        <v>610.82000000000005</v>
      </c>
      <c r="O161" s="3">
        <v>207.3</v>
      </c>
      <c r="P161" s="3">
        <v>175.11</v>
      </c>
      <c r="Q161" s="3">
        <v>-451.1</v>
      </c>
      <c r="R161" s="3">
        <v>-129.09</v>
      </c>
      <c r="S161" s="3">
        <v>22.09</v>
      </c>
      <c r="T161" s="3">
        <v>-49.42</v>
      </c>
      <c r="U161" s="3">
        <v>-28.92</v>
      </c>
      <c r="V161" s="3" t="s">
        <v>63</v>
      </c>
    </row>
    <row r="167" spans="1:23" x14ac:dyDescent="0.2">
      <c r="A167" s="1" t="s">
        <v>97</v>
      </c>
      <c r="B167" s="1" t="s">
        <v>169</v>
      </c>
      <c r="C167" s="1" t="s">
        <v>446</v>
      </c>
      <c r="D167" s="1" t="s">
        <v>396</v>
      </c>
      <c r="E167" s="1" t="s">
        <v>98</v>
      </c>
      <c r="F167" s="1" t="s">
        <v>99</v>
      </c>
      <c r="G167" s="1" t="s">
        <v>177</v>
      </c>
      <c r="H167" s="1" t="s">
        <v>178</v>
      </c>
      <c r="I167" s="1" t="s">
        <v>100</v>
      </c>
      <c r="J167" s="1" t="s">
        <v>179</v>
      </c>
      <c r="K167" s="1" t="s">
        <v>180</v>
      </c>
      <c r="L167" s="1" t="s">
        <v>181</v>
      </c>
      <c r="M167" s="1" t="s">
        <v>101</v>
      </c>
      <c r="N167" s="1" t="s">
        <v>182</v>
      </c>
      <c r="O167" s="1" t="s">
        <v>183</v>
      </c>
      <c r="P167" s="1" t="s">
        <v>184</v>
      </c>
      <c r="Q167" s="1" t="s">
        <v>102</v>
      </c>
      <c r="R167" s="1" t="s">
        <v>185</v>
      </c>
      <c r="S167" s="1" t="s">
        <v>186</v>
      </c>
      <c r="T167" s="1" t="s">
        <v>187</v>
      </c>
      <c r="U167" s="1" t="s">
        <v>459</v>
      </c>
      <c r="V167" s="1" t="s">
        <v>462</v>
      </c>
      <c r="W167" s="1" t="s">
        <v>439</v>
      </c>
    </row>
    <row r="168" spans="1:23" x14ac:dyDescent="0.2">
      <c r="A168" s="1" t="s">
        <v>10</v>
      </c>
      <c r="B168" s="1" t="s">
        <v>487</v>
      </c>
      <c r="C168" s="1" t="s">
        <v>484</v>
      </c>
      <c r="D168" s="1" t="s">
        <v>397</v>
      </c>
      <c r="E168" s="1" t="s">
        <v>379</v>
      </c>
      <c r="F168" s="1" t="s">
        <v>380</v>
      </c>
      <c r="G168" s="1" t="s">
        <v>372</v>
      </c>
      <c r="H168" s="1" t="s">
        <v>373</v>
      </c>
      <c r="I168" s="1" t="s">
        <v>371</v>
      </c>
      <c r="J168" s="1" t="s">
        <v>381</v>
      </c>
      <c r="K168" s="1" t="s">
        <v>375</v>
      </c>
      <c r="L168" s="1" t="s">
        <v>382</v>
      </c>
      <c r="M168" s="1" t="s">
        <v>383</v>
      </c>
      <c r="N168" s="1" t="s">
        <v>384</v>
      </c>
      <c r="O168" s="1" t="s">
        <v>376</v>
      </c>
      <c r="P168" s="1" t="s">
        <v>385</v>
      </c>
      <c r="Q168" s="1" t="s">
        <v>386</v>
      </c>
      <c r="R168" s="1" t="s">
        <v>387</v>
      </c>
      <c r="S168" s="1" t="s">
        <v>377</v>
      </c>
      <c r="T168" s="1" t="s">
        <v>388</v>
      </c>
      <c r="U168" s="1" t="s">
        <v>389</v>
      </c>
      <c r="V168" s="1" t="s">
        <v>390</v>
      </c>
      <c r="W168" s="1" t="s">
        <v>439</v>
      </c>
    </row>
    <row r="169" spans="1:23" ht="17" x14ac:dyDescent="0.2">
      <c r="A169" s="12" t="s">
        <v>170</v>
      </c>
      <c r="B169" s="4">
        <v>7848</v>
      </c>
      <c r="C169" s="4">
        <v>7374</v>
      </c>
      <c r="D169" s="4">
        <v>8473</v>
      </c>
      <c r="E169" s="4">
        <v>10118</v>
      </c>
      <c r="F169" s="4">
        <v>11132</v>
      </c>
      <c r="G169" s="4">
        <v>11226</v>
      </c>
      <c r="H169" s="4">
        <v>15483</v>
      </c>
      <c r="I169" s="4">
        <v>16955</v>
      </c>
      <c r="J169" s="4">
        <v>19954</v>
      </c>
      <c r="K169" s="4">
        <v>26177</v>
      </c>
      <c r="L169" s="4">
        <v>25928</v>
      </c>
      <c r="M169" s="4">
        <v>25406</v>
      </c>
      <c r="N169" s="4">
        <v>30974</v>
      </c>
      <c r="O169" s="4">
        <v>24474</v>
      </c>
      <c r="P169" s="4">
        <v>25899</v>
      </c>
      <c r="Q169" s="4">
        <v>27346</v>
      </c>
      <c r="R169" s="4">
        <v>25609</v>
      </c>
      <c r="S169" s="4">
        <v>19663</v>
      </c>
      <c r="T169" s="4">
        <v>17054</v>
      </c>
      <c r="U169" s="4">
        <v>15705</v>
      </c>
      <c r="V169" s="4">
        <v>9496</v>
      </c>
      <c r="W169" s="3" t="s">
        <v>63</v>
      </c>
    </row>
    <row r="170" spans="1:23" x14ac:dyDescent="0.2">
      <c r="A170" s="3" t="s">
        <v>198</v>
      </c>
      <c r="B170" s="5">
        <v>-0.34320000000000001</v>
      </c>
      <c r="C170" s="5">
        <v>-0.34320000000000001</v>
      </c>
      <c r="D170" s="5">
        <v>-0.45269999999999999</v>
      </c>
      <c r="E170" s="5">
        <v>-0.40329999999999999</v>
      </c>
      <c r="F170" s="5">
        <v>-0.44209999999999999</v>
      </c>
      <c r="G170" s="5">
        <v>-0.57110000000000005</v>
      </c>
      <c r="H170" s="5">
        <v>-0.40279999999999999</v>
      </c>
      <c r="I170" s="5">
        <v>-0.33260000000000001</v>
      </c>
      <c r="J170" s="5">
        <v>-0.35580000000000001</v>
      </c>
      <c r="K170" s="5">
        <v>6.9599999999999995E-2</v>
      </c>
      <c r="L170" s="5">
        <v>1.1000000000000001E-3</v>
      </c>
      <c r="M170" s="5">
        <v>-7.0900000000000005E-2</v>
      </c>
      <c r="N170" s="5">
        <v>0.20949999999999999</v>
      </c>
      <c r="O170" s="5">
        <v>0.2447</v>
      </c>
      <c r="P170" s="5">
        <v>0.51870000000000005</v>
      </c>
      <c r="Q170" s="5">
        <v>0.74129999999999996</v>
      </c>
      <c r="R170" s="5">
        <v>1.6969000000000001</v>
      </c>
      <c r="S170" s="5">
        <v>1.3953</v>
      </c>
      <c r="T170" s="5">
        <v>1.8454999999999999</v>
      </c>
      <c r="U170" s="5">
        <v>1.0278</v>
      </c>
      <c r="V170" s="5">
        <v>0.28870000000000001</v>
      </c>
      <c r="W170" s="3" t="s">
        <v>63</v>
      </c>
    </row>
    <row r="171" spans="1:23" x14ac:dyDescent="0.2">
      <c r="A171" s="3" t="s">
        <v>9</v>
      </c>
      <c r="B171" s="4">
        <v>9536</v>
      </c>
      <c r="C171" s="4">
        <v>12010</v>
      </c>
      <c r="D171" s="4">
        <v>13342</v>
      </c>
      <c r="E171" s="4">
        <v>14645</v>
      </c>
      <c r="F171" s="4">
        <v>15457</v>
      </c>
      <c r="G171" s="4">
        <v>15341</v>
      </c>
      <c r="H171" s="4">
        <v>18950</v>
      </c>
      <c r="I171" s="4">
        <v>19426</v>
      </c>
      <c r="J171" s="4">
        <v>22291</v>
      </c>
      <c r="K171" s="4">
        <v>28209</v>
      </c>
      <c r="L171" s="4">
        <v>27949</v>
      </c>
      <c r="M171" s="4">
        <v>27757</v>
      </c>
      <c r="N171" s="4">
        <v>33853</v>
      </c>
      <c r="O171" s="4">
        <v>26861</v>
      </c>
      <c r="P171" s="4">
        <v>28156</v>
      </c>
      <c r="Q171" s="4">
        <v>29144</v>
      </c>
      <c r="R171" s="4">
        <v>27206</v>
      </c>
      <c r="S171" s="4">
        <v>21451</v>
      </c>
      <c r="T171" s="4">
        <v>20181</v>
      </c>
      <c r="U171" s="4">
        <v>18882</v>
      </c>
      <c r="V171" s="4">
        <v>12617</v>
      </c>
      <c r="W171" s="3" t="s">
        <v>63</v>
      </c>
    </row>
    <row r="172" spans="1:23" x14ac:dyDescent="0.2">
      <c r="A172" s="3" t="s">
        <v>199</v>
      </c>
      <c r="B172" s="3">
        <v>67.849999999999994</v>
      </c>
      <c r="C172" s="3">
        <v>62.67</v>
      </c>
      <c r="D172" s="3">
        <v>71.55</v>
      </c>
      <c r="E172" s="3">
        <v>85.04</v>
      </c>
      <c r="F172" s="3">
        <v>93.2</v>
      </c>
      <c r="G172" s="3">
        <v>93.57</v>
      </c>
      <c r="H172" s="3">
        <v>128.57</v>
      </c>
      <c r="I172" s="3">
        <v>140.56</v>
      </c>
      <c r="J172" s="3">
        <v>164.95</v>
      </c>
      <c r="K172" s="3">
        <v>215.95</v>
      </c>
      <c r="L172" s="3">
        <v>213.58</v>
      </c>
      <c r="M172" s="3">
        <v>209.15</v>
      </c>
      <c r="N172" s="3">
        <v>254.64</v>
      </c>
      <c r="O172" s="3">
        <v>200.97</v>
      </c>
      <c r="P172" s="3">
        <v>212.35</v>
      </c>
      <c r="Q172" s="3">
        <v>224</v>
      </c>
      <c r="R172" s="3">
        <v>209.48</v>
      </c>
      <c r="S172" s="3">
        <v>160.88999999999999</v>
      </c>
      <c r="T172" s="3">
        <v>139.22999999999999</v>
      </c>
      <c r="U172" s="3">
        <v>140.22</v>
      </c>
      <c r="V172" s="3">
        <v>84.63</v>
      </c>
      <c r="W172" s="3" t="s">
        <v>63</v>
      </c>
    </row>
    <row r="173" spans="1:23" x14ac:dyDescent="0.2">
      <c r="A173" s="3" t="s">
        <v>19</v>
      </c>
      <c r="B173" s="3" t="s">
        <v>12</v>
      </c>
      <c r="C173" s="3">
        <v>-6.99</v>
      </c>
      <c r="D173" s="3" t="s">
        <v>12</v>
      </c>
      <c r="E173" s="3">
        <v>-7.69</v>
      </c>
      <c r="F173" s="3" t="s">
        <v>12</v>
      </c>
      <c r="G173" s="3" t="s">
        <v>12</v>
      </c>
      <c r="H173" s="3" t="s">
        <v>12</v>
      </c>
      <c r="I173" s="3" t="s">
        <v>12</v>
      </c>
      <c r="J173" s="3">
        <v>6</v>
      </c>
      <c r="K173" s="3">
        <v>6.68</v>
      </c>
      <c r="L173" s="3">
        <v>7.06</v>
      </c>
      <c r="M173" s="3">
        <v>9.4499999999999993</v>
      </c>
      <c r="N173" s="3">
        <v>19.940000000000001</v>
      </c>
      <c r="O173" s="3">
        <v>92.86</v>
      </c>
      <c r="P173" s="3">
        <v>92.05</v>
      </c>
      <c r="Q173" s="3" t="s">
        <v>12</v>
      </c>
      <c r="R173" s="3" t="s">
        <v>12</v>
      </c>
      <c r="S173" s="3">
        <v>27.96</v>
      </c>
      <c r="T173" s="3">
        <v>46.82</v>
      </c>
      <c r="U173" s="3">
        <v>41.79</v>
      </c>
      <c r="V173" s="3">
        <v>24.89</v>
      </c>
      <c r="W173" s="3" t="s">
        <v>63</v>
      </c>
    </row>
    <row r="174" spans="1:23" x14ac:dyDescent="0.2">
      <c r="A174" s="3" t="s">
        <v>46</v>
      </c>
      <c r="B174" s="3" t="s">
        <v>12</v>
      </c>
      <c r="C174" s="3" t="s">
        <v>12</v>
      </c>
      <c r="D174" s="3" t="s">
        <v>12</v>
      </c>
      <c r="E174" s="3" t="s">
        <v>12</v>
      </c>
      <c r="F174" s="3">
        <v>161.07</v>
      </c>
      <c r="G174" s="3">
        <v>27.62</v>
      </c>
      <c r="H174" s="3">
        <v>36.07</v>
      </c>
      <c r="I174" s="3">
        <v>17</v>
      </c>
      <c r="J174" s="3">
        <v>8.4499999999999993</v>
      </c>
      <c r="K174" s="3">
        <v>12.29</v>
      </c>
      <c r="L174" s="3">
        <v>7.34</v>
      </c>
      <c r="M174" s="3">
        <v>7.8</v>
      </c>
      <c r="N174" s="3">
        <v>10.09</v>
      </c>
      <c r="O174" s="3">
        <v>15.15</v>
      </c>
      <c r="P174" s="3">
        <v>36.700000000000003</v>
      </c>
      <c r="Q174" s="3">
        <v>46.33</v>
      </c>
      <c r="R174" s="3">
        <v>55.65</v>
      </c>
      <c r="S174" s="3">
        <v>45.19</v>
      </c>
      <c r="T174" s="3">
        <v>41.7</v>
      </c>
      <c r="U174" s="3">
        <v>35.96</v>
      </c>
      <c r="V174" s="3">
        <v>24.06</v>
      </c>
      <c r="W174" s="3" t="s">
        <v>63</v>
      </c>
    </row>
    <row r="175" spans="1:23" x14ac:dyDescent="0.2">
      <c r="A175" s="3" t="s">
        <v>20</v>
      </c>
      <c r="B175" s="3">
        <v>1.6</v>
      </c>
      <c r="C175" s="3">
        <v>1.48</v>
      </c>
      <c r="D175" s="3">
        <v>1.66</v>
      </c>
      <c r="E175" s="3">
        <v>1.88</v>
      </c>
      <c r="F175" s="3">
        <v>1.71</v>
      </c>
      <c r="G175" s="3">
        <v>1.51</v>
      </c>
      <c r="H175" s="3">
        <v>1.84</v>
      </c>
      <c r="I175" s="3">
        <v>1.76</v>
      </c>
      <c r="J175" s="3">
        <v>2.02</v>
      </c>
      <c r="K175" s="3">
        <v>2.71</v>
      </c>
      <c r="L175" s="3">
        <v>2.96</v>
      </c>
      <c r="M175" s="3">
        <v>3.47</v>
      </c>
      <c r="N175" s="3">
        <v>5.54</v>
      </c>
      <c r="O175" s="3">
        <v>5.65</v>
      </c>
      <c r="P175" s="3">
        <v>7.14</v>
      </c>
      <c r="Q175" s="3">
        <v>8.2200000000000006</v>
      </c>
      <c r="R175" s="3">
        <v>7.73</v>
      </c>
      <c r="S175" s="3">
        <v>6.09</v>
      </c>
      <c r="T175" s="3">
        <v>5.3</v>
      </c>
      <c r="U175" s="3">
        <v>5.0199999999999996</v>
      </c>
      <c r="V175" s="3">
        <v>2.93</v>
      </c>
      <c r="W175" s="3" t="s">
        <v>63</v>
      </c>
    </row>
    <row r="176" spans="1:23" x14ac:dyDescent="0.2">
      <c r="A176" s="3" t="s">
        <v>21</v>
      </c>
      <c r="B176" s="3">
        <v>1</v>
      </c>
      <c r="C176" s="3">
        <v>0.7</v>
      </c>
      <c r="D176" s="3">
        <v>0.83</v>
      </c>
      <c r="E176" s="3">
        <v>0.99</v>
      </c>
      <c r="F176" s="3">
        <v>1.06</v>
      </c>
      <c r="G176" s="3">
        <v>0.98</v>
      </c>
      <c r="H176" s="3">
        <v>1.31</v>
      </c>
      <c r="I176" s="3">
        <v>1.75</v>
      </c>
      <c r="J176" s="3">
        <v>1.96</v>
      </c>
      <c r="K176" s="3">
        <v>2.6</v>
      </c>
      <c r="L176" s="3">
        <v>2.74</v>
      </c>
      <c r="M176" s="3">
        <v>3.1</v>
      </c>
      <c r="N176" s="3">
        <v>4.45</v>
      </c>
      <c r="O176" s="3">
        <v>3.88</v>
      </c>
      <c r="P176" s="3">
        <v>4.29</v>
      </c>
      <c r="Q176" s="3">
        <v>4.71</v>
      </c>
      <c r="R176" s="3">
        <v>4.34</v>
      </c>
      <c r="S176" s="3">
        <v>3.09</v>
      </c>
      <c r="T176" s="3">
        <v>2.87</v>
      </c>
      <c r="U176" s="3">
        <v>3.51</v>
      </c>
      <c r="V176" s="3">
        <v>2.19</v>
      </c>
      <c r="W176" s="3" t="s">
        <v>63</v>
      </c>
    </row>
    <row r="177" spans="1:23" x14ac:dyDescent="0.2">
      <c r="A177" s="3" t="s">
        <v>369</v>
      </c>
      <c r="B177" s="3">
        <v>1.27</v>
      </c>
      <c r="C177" s="3">
        <v>1.21</v>
      </c>
      <c r="D177" s="3">
        <v>1.42</v>
      </c>
      <c r="E177" s="3">
        <v>1.71</v>
      </c>
      <c r="F177" s="3">
        <v>1.82</v>
      </c>
      <c r="G177" s="3">
        <v>1.57</v>
      </c>
      <c r="H177" s="3">
        <v>2.08</v>
      </c>
      <c r="I177" s="3">
        <v>2.2599999999999998</v>
      </c>
      <c r="J177" s="3">
        <v>2.4900000000000002</v>
      </c>
      <c r="K177" s="3">
        <v>3.31</v>
      </c>
      <c r="L177" s="3">
        <v>3.56</v>
      </c>
      <c r="M177" s="3">
        <v>4.18</v>
      </c>
      <c r="N177" s="3">
        <v>6.19</v>
      </c>
      <c r="O177" s="3">
        <v>5.75</v>
      </c>
      <c r="P177" s="3">
        <v>6.55</v>
      </c>
      <c r="Q177" s="3">
        <v>7.35</v>
      </c>
      <c r="R177" s="3">
        <v>6.83</v>
      </c>
      <c r="S177" s="3">
        <v>4.6900000000000004</v>
      </c>
      <c r="T177" s="3">
        <v>4.51</v>
      </c>
      <c r="U177" s="3">
        <v>6.97</v>
      </c>
      <c r="V177" s="3">
        <v>4.3600000000000003</v>
      </c>
      <c r="W177" s="3" t="s">
        <v>63</v>
      </c>
    </row>
    <row r="178" spans="1:23" x14ac:dyDescent="0.2">
      <c r="A178" s="3" t="s">
        <v>22</v>
      </c>
      <c r="B178" s="3" t="s">
        <v>12</v>
      </c>
      <c r="C178" s="3" t="s">
        <v>12</v>
      </c>
      <c r="D178" s="3">
        <v>-60.7</v>
      </c>
      <c r="E178" s="3" t="s">
        <v>12</v>
      </c>
      <c r="F178" s="3" t="s">
        <v>12</v>
      </c>
      <c r="G178" s="3" t="s">
        <v>12</v>
      </c>
      <c r="H178" s="3" t="s">
        <v>12</v>
      </c>
      <c r="I178" s="3" t="s">
        <v>12</v>
      </c>
      <c r="J178" s="3">
        <v>42.92</v>
      </c>
      <c r="K178" s="3" t="s">
        <v>12</v>
      </c>
      <c r="L178" s="3">
        <v>26.54</v>
      </c>
      <c r="M178" s="3">
        <v>39.32</v>
      </c>
      <c r="N178" s="3">
        <v>-100.7</v>
      </c>
      <c r="O178" s="3" t="s">
        <v>12</v>
      </c>
      <c r="P178" s="3" t="s">
        <v>12</v>
      </c>
      <c r="Q178" s="3" t="s">
        <v>12</v>
      </c>
      <c r="R178" s="3" t="s">
        <v>12</v>
      </c>
      <c r="S178" s="3">
        <v>132.46</v>
      </c>
      <c r="T178" s="3" t="s">
        <v>12</v>
      </c>
      <c r="U178" s="3">
        <v>-304.57</v>
      </c>
      <c r="V178" s="3">
        <v>-324.51</v>
      </c>
      <c r="W178" s="3" t="s">
        <v>63</v>
      </c>
    </row>
    <row r="179" spans="1:23" x14ac:dyDescent="0.2">
      <c r="A179" s="3" t="s">
        <v>23</v>
      </c>
      <c r="B179" s="3">
        <v>9.9600000000000009</v>
      </c>
      <c r="C179" s="3" t="s">
        <v>12</v>
      </c>
      <c r="D179" s="3">
        <v>7.37</v>
      </c>
      <c r="E179" s="3">
        <v>14.41</v>
      </c>
      <c r="F179" s="3">
        <v>18.45</v>
      </c>
      <c r="G179" s="3">
        <v>11.32</v>
      </c>
      <c r="H179" s="3">
        <v>22.05</v>
      </c>
      <c r="I179" s="3" t="s">
        <v>12</v>
      </c>
      <c r="J179" s="3">
        <v>8.4</v>
      </c>
      <c r="K179" s="3">
        <v>9.91</v>
      </c>
      <c r="L179" s="3">
        <v>10.7</v>
      </c>
      <c r="M179" s="3">
        <v>13.32</v>
      </c>
      <c r="N179" s="3">
        <v>38.270000000000003</v>
      </c>
      <c r="O179" s="3" t="s">
        <v>12</v>
      </c>
      <c r="P179" s="3">
        <v>65.989999999999995</v>
      </c>
      <c r="Q179" s="3" t="s">
        <v>12</v>
      </c>
      <c r="R179" s="3">
        <v>30.94</v>
      </c>
      <c r="S179" s="3">
        <v>20.13</v>
      </c>
      <c r="T179" s="3">
        <v>21.27</v>
      </c>
      <c r="U179" s="3">
        <v>19.66</v>
      </c>
      <c r="V179" s="3">
        <v>11.37</v>
      </c>
      <c r="W179" s="3" t="s">
        <v>63</v>
      </c>
    </row>
    <row r="180" spans="1:23" x14ac:dyDescent="0.2">
      <c r="A180" s="3" t="s">
        <v>398</v>
      </c>
      <c r="B180" s="3" t="s">
        <v>12</v>
      </c>
      <c r="C180" s="3" t="s">
        <v>12</v>
      </c>
      <c r="D180" s="3" t="s">
        <v>12</v>
      </c>
      <c r="E180" s="3" t="s">
        <v>12</v>
      </c>
      <c r="F180" s="3" t="s">
        <v>12</v>
      </c>
      <c r="G180" s="3" t="s">
        <v>12</v>
      </c>
      <c r="H180" s="3" t="s">
        <v>12</v>
      </c>
      <c r="I180" s="3">
        <v>1.34</v>
      </c>
      <c r="J180" s="3">
        <v>0.34</v>
      </c>
      <c r="K180" s="3">
        <v>0.34</v>
      </c>
      <c r="L180" s="3">
        <v>0.08</v>
      </c>
      <c r="M180" s="3">
        <v>0.1</v>
      </c>
      <c r="N180" s="3">
        <v>0.19</v>
      </c>
      <c r="O180" s="3">
        <v>0.42</v>
      </c>
      <c r="P180" s="3">
        <v>1.52</v>
      </c>
      <c r="Q180" s="3">
        <v>2.2000000000000002</v>
      </c>
      <c r="R180" s="3">
        <v>2.74</v>
      </c>
      <c r="S180" s="3">
        <v>2.3199999999999998</v>
      </c>
      <c r="T180" s="3">
        <v>2.81</v>
      </c>
      <c r="U180" s="3">
        <v>3.99</v>
      </c>
      <c r="V180" s="3">
        <v>3.05</v>
      </c>
      <c r="W180" s="3" t="s">
        <v>63</v>
      </c>
    </row>
    <row r="181" spans="1:23" x14ac:dyDescent="0.2">
      <c r="A181" s="3" t="s">
        <v>24</v>
      </c>
      <c r="B181" s="3">
        <v>1.91</v>
      </c>
      <c r="C181" s="3">
        <v>2.4</v>
      </c>
      <c r="D181" s="3">
        <v>2.62</v>
      </c>
      <c r="E181" s="3">
        <v>2.72</v>
      </c>
      <c r="F181" s="3">
        <v>2.38</v>
      </c>
      <c r="G181" s="3">
        <v>2.06</v>
      </c>
      <c r="H181" s="3">
        <v>2.2599999999999998</v>
      </c>
      <c r="I181" s="3">
        <v>2.02</v>
      </c>
      <c r="J181" s="3">
        <v>2.2599999999999998</v>
      </c>
      <c r="K181" s="3">
        <v>2.92</v>
      </c>
      <c r="L181" s="3">
        <v>3.19</v>
      </c>
      <c r="M181" s="3">
        <v>3.79</v>
      </c>
      <c r="N181" s="3">
        <v>6.05</v>
      </c>
      <c r="O181" s="3">
        <v>6.2</v>
      </c>
      <c r="P181" s="3">
        <v>7.76</v>
      </c>
      <c r="Q181" s="3">
        <v>8.76</v>
      </c>
      <c r="R181" s="3">
        <v>8.2100000000000009</v>
      </c>
      <c r="S181" s="3">
        <v>6.64</v>
      </c>
      <c r="T181" s="3">
        <v>6.27</v>
      </c>
      <c r="U181" s="3">
        <v>6.04</v>
      </c>
      <c r="V181" s="3">
        <v>3.89</v>
      </c>
      <c r="W181" s="3" t="s">
        <v>63</v>
      </c>
    </row>
    <row r="182" spans="1:23" x14ac:dyDescent="0.2">
      <c r="A182" s="3" t="s">
        <v>200</v>
      </c>
      <c r="B182" s="3">
        <v>20.13</v>
      </c>
      <c r="C182" s="3">
        <v>25.47</v>
      </c>
      <c r="D182" s="3">
        <v>69.06</v>
      </c>
      <c r="E182" s="3">
        <v>-1949.59</v>
      </c>
      <c r="F182" s="3" t="s">
        <v>12</v>
      </c>
      <c r="G182" s="3" t="s">
        <v>12</v>
      </c>
      <c r="H182" s="3" t="s">
        <v>12</v>
      </c>
      <c r="I182" s="3" t="s">
        <v>12</v>
      </c>
      <c r="J182" s="3" t="s">
        <v>12</v>
      </c>
      <c r="K182" s="3">
        <v>7.81</v>
      </c>
      <c r="L182" s="3">
        <v>7.63</v>
      </c>
      <c r="M182" s="3">
        <v>9.69</v>
      </c>
      <c r="N182" s="3">
        <v>15.77</v>
      </c>
      <c r="O182" s="3">
        <v>19.649999999999999</v>
      </c>
      <c r="P182" s="3">
        <v>27.27</v>
      </c>
      <c r="Q182" s="3">
        <v>33.72</v>
      </c>
      <c r="R182" s="3">
        <v>35.43</v>
      </c>
      <c r="S182" s="3">
        <v>27.51</v>
      </c>
      <c r="T182" s="3">
        <v>25.79</v>
      </c>
      <c r="U182" s="3">
        <v>25.43</v>
      </c>
      <c r="V182" s="3">
        <v>15.25</v>
      </c>
      <c r="W182" s="3" t="s">
        <v>63</v>
      </c>
    </row>
    <row r="183" spans="1:23" x14ac:dyDescent="0.2">
      <c r="A183" s="3" t="s">
        <v>201</v>
      </c>
      <c r="B183" s="3" t="s">
        <v>12</v>
      </c>
      <c r="C183" s="3">
        <v>-64.709999999999994</v>
      </c>
      <c r="D183" s="3">
        <v>-30.78</v>
      </c>
      <c r="E183" s="3">
        <v>-24.57</v>
      </c>
      <c r="F183" s="3" t="s">
        <v>12</v>
      </c>
      <c r="G183" s="3" t="s">
        <v>12</v>
      </c>
      <c r="H183" s="3" t="s">
        <v>12</v>
      </c>
      <c r="I183" s="3" t="s">
        <v>12</v>
      </c>
      <c r="J183" s="3" t="s">
        <v>12</v>
      </c>
      <c r="K183" s="3">
        <v>8.6300000000000008</v>
      </c>
      <c r="L183" s="3">
        <v>8.36</v>
      </c>
      <c r="M183" s="3">
        <v>10.83</v>
      </c>
      <c r="N183" s="3">
        <v>18.170000000000002</v>
      </c>
      <c r="O183" s="3">
        <v>24.43</v>
      </c>
      <c r="P183" s="3">
        <v>36.36</v>
      </c>
      <c r="Q183" s="3">
        <v>47.75</v>
      </c>
      <c r="R183" s="3">
        <v>52.28</v>
      </c>
      <c r="S183" s="3">
        <v>40.049999999999997</v>
      </c>
      <c r="T183" s="3">
        <v>37.24</v>
      </c>
      <c r="U183" s="3">
        <v>36.979999999999997</v>
      </c>
      <c r="V183" s="3">
        <v>21.01</v>
      </c>
      <c r="W183" s="3" t="s">
        <v>63</v>
      </c>
    </row>
    <row r="184" spans="1:23" x14ac:dyDescent="0.2">
      <c r="A184" s="3" t="s">
        <v>25</v>
      </c>
      <c r="B184" s="3" t="s">
        <v>12</v>
      </c>
      <c r="C184" s="3" t="s">
        <v>12</v>
      </c>
      <c r="D184" s="3">
        <v>-95.58</v>
      </c>
      <c r="E184" s="3" t="s">
        <v>12</v>
      </c>
      <c r="F184" s="3" t="s">
        <v>12</v>
      </c>
      <c r="G184" s="3" t="s">
        <v>12</v>
      </c>
      <c r="H184" s="3" t="s">
        <v>12</v>
      </c>
      <c r="I184" s="3" t="s">
        <v>12</v>
      </c>
      <c r="J184" s="3">
        <v>47.95</v>
      </c>
      <c r="K184" s="3" t="s">
        <v>12</v>
      </c>
      <c r="L184" s="3">
        <v>28.6</v>
      </c>
      <c r="M184" s="3">
        <v>42.95</v>
      </c>
      <c r="N184" s="3">
        <v>-110.06</v>
      </c>
      <c r="O184" s="3" t="s">
        <v>12</v>
      </c>
      <c r="P184" s="3" t="s">
        <v>12</v>
      </c>
      <c r="Q184" s="3" t="s">
        <v>12</v>
      </c>
      <c r="R184" s="3" t="s">
        <v>12</v>
      </c>
      <c r="S184" s="3">
        <v>144.5</v>
      </c>
      <c r="T184" s="3" t="s">
        <v>12</v>
      </c>
      <c r="U184" s="3">
        <v>-366.19</v>
      </c>
      <c r="V184" s="3">
        <v>-431.19</v>
      </c>
      <c r="W184" s="3" t="s">
        <v>63</v>
      </c>
    </row>
    <row r="185" spans="1:23" x14ac:dyDescent="0.2">
      <c r="A185" s="3" t="s">
        <v>171</v>
      </c>
      <c r="B185" s="3">
        <v>0.35</v>
      </c>
      <c r="C185" s="3">
        <v>0.35</v>
      </c>
      <c r="D185" s="3">
        <v>0.36</v>
      </c>
      <c r="E185" s="3">
        <v>0.36</v>
      </c>
      <c r="F185" s="3">
        <v>0.35</v>
      </c>
      <c r="G185" s="3">
        <v>0.32</v>
      </c>
      <c r="H185" s="3">
        <v>0.31</v>
      </c>
      <c r="I185" s="3">
        <v>0.45</v>
      </c>
      <c r="J185" s="3">
        <v>0.38</v>
      </c>
      <c r="K185" s="3">
        <v>0.36</v>
      </c>
      <c r="L185" s="3">
        <v>0.36</v>
      </c>
      <c r="M185" s="3">
        <v>0.41</v>
      </c>
      <c r="N185" s="3">
        <v>0.5</v>
      </c>
      <c r="O185" s="3">
        <v>0.56999999999999995</v>
      </c>
      <c r="P185" s="3">
        <v>0.44</v>
      </c>
      <c r="Q185" s="3">
        <v>0.44</v>
      </c>
      <c r="R185" s="3">
        <v>0.37</v>
      </c>
      <c r="S185" s="3">
        <v>0.35</v>
      </c>
      <c r="T185" s="3">
        <v>0.36</v>
      </c>
      <c r="U185" s="3">
        <v>0.83</v>
      </c>
      <c r="V185" s="3">
        <v>0.85</v>
      </c>
      <c r="W185" s="3" t="s">
        <v>63</v>
      </c>
    </row>
    <row r="186" spans="1:23" x14ac:dyDescent="0.2">
      <c r="A186" s="3" t="s">
        <v>172</v>
      </c>
      <c r="B186" s="3">
        <v>6.96</v>
      </c>
      <c r="C186" s="3">
        <v>4.0999999999999996</v>
      </c>
      <c r="D186" s="3">
        <v>4.47</v>
      </c>
      <c r="E186" s="3">
        <v>4.3600000000000003</v>
      </c>
      <c r="F186" s="3" t="s">
        <v>12</v>
      </c>
      <c r="G186" s="3" t="s">
        <v>12</v>
      </c>
      <c r="H186" s="3">
        <v>188.91</v>
      </c>
      <c r="I186" s="3" t="s">
        <v>12</v>
      </c>
      <c r="J186" s="3">
        <v>967.51</v>
      </c>
      <c r="K186" s="3">
        <v>1.87</v>
      </c>
      <c r="L186" s="3">
        <v>0.69</v>
      </c>
      <c r="M186" s="3">
        <v>0.85</v>
      </c>
      <c r="N186" s="3">
        <v>0.87</v>
      </c>
      <c r="O186" s="3">
        <v>1.69</v>
      </c>
      <c r="P186" s="3">
        <v>1.62</v>
      </c>
      <c r="Q186" s="3">
        <v>2.37</v>
      </c>
      <c r="R186" s="3">
        <v>2.4700000000000002</v>
      </c>
      <c r="S186" s="3">
        <v>2.83</v>
      </c>
      <c r="T186" s="3">
        <v>2.25</v>
      </c>
      <c r="U186" s="3">
        <v>5.43</v>
      </c>
      <c r="V186" s="3">
        <v>4.03</v>
      </c>
      <c r="W186" s="3" t="s">
        <v>63</v>
      </c>
    </row>
    <row r="187" spans="1:23" x14ac:dyDescent="0.2">
      <c r="A187" s="3" t="s">
        <v>202</v>
      </c>
      <c r="B187" s="3" t="s">
        <v>12</v>
      </c>
      <c r="C187" s="3" t="s">
        <v>12</v>
      </c>
      <c r="D187" s="3">
        <v>-26.32</v>
      </c>
      <c r="E187" s="3" t="s">
        <v>12</v>
      </c>
      <c r="F187" s="3" t="s">
        <v>12</v>
      </c>
      <c r="G187" s="3" t="s">
        <v>12</v>
      </c>
      <c r="H187" s="3" t="s">
        <v>12</v>
      </c>
      <c r="I187" s="3" t="s">
        <v>12</v>
      </c>
      <c r="J187" s="3">
        <v>8.19</v>
      </c>
      <c r="K187" s="3" t="s">
        <v>12</v>
      </c>
      <c r="L187" s="3">
        <v>3.45</v>
      </c>
      <c r="M187" s="3">
        <v>5.19</v>
      </c>
      <c r="N187" s="3">
        <v>-11.39</v>
      </c>
      <c r="O187" s="3" t="s">
        <v>12</v>
      </c>
      <c r="P187" s="3" t="s">
        <v>12</v>
      </c>
      <c r="Q187" s="3" t="s">
        <v>12</v>
      </c>
      <c r="R187" s="3" t="s">
        <v>12</v>
      </c>
      <c r="S187" s="3">
        <v>14.96</v>
      </c>
      <c r="T187" s="3" t="s">
        <v>12</v>
      </c>
      <c r="U187" s="3">
        <v>-71.97</v>
      </c>
      <c r="V187" s="3">
        <v>-125.72</v>
      </c>
      <c r="W187" s="3" t="s">
        <v>63</v>
      </c>
    </row>
    <row r="188" spans="1:23" x14ac:dyDescent="0.2">
      <c r="A188" s="3" t="s">
        <v>173</v>
      </c>
      <c r="B188" s="3">
        <v>0.31</v>
      </c>
      <c r="C188" s="3">
        <v>0.26</v>
      </c>
      <c r="D188" s="3">
        <v>0.28999999999999998</v>
      </c>
      <c r="E188" s="3">
        <v>0.3</v>
      </c>
      <c r="F188" s="3">
        <v>0.31</v>
      </c>
      <c r="G188" s="3">
        <v>0.28999999999999998</v>
      </c>
      <c r="H188" s="3">
        <v>0.51</v>
      </c>
      <c r="I188" s="3">
        <v>0.49</v>
      </c>
      <c r="J188" s="3">
        <v>0.52</v>
      </c>
      <c r="K188" s="3">
        <v>0.63</v>
      </c>
      <c r="L188" s="3">
        <v>0.72</v>
      </c>
      <c r="M188" s="3">
        <v>0.64</v>
      </c>
      <c r="N188" s="3">
        <v>0.5</v>
      </c>
      <c r="O188" s="3">
        <v>0.4</v>
      </c>
      <c r="P188" s="3">
        <v>0.33</v>
      </c>
      <c r="Q188" s="3">
        <v>0.31</v>
      </c>
      <c r="R188" s="3">
        <v>0.28999999999999998</v>
      </c>
      <c r="S188" s="3">
        <v>0.32</v>
      </c>
      <c r="T188" s="3">
        <v>0.34</v>
      </c>
      <c r="U188" s="3">
        <v>0.28999999999999998</v>
      </c>
      <c r="V188" s="3" t="s">
        <v>63</v>
      </c>
    </row>
    <row r="189" spans="1:23" x14ac:dyDescent="0.2">
      <c r="A189" s="3" t="s">
        <v>174</v>
      </c>
      <c r="B189" s="3">
        <v>2.66</v>
      </c>
      <c r="C189" s="3">
        <v>2.75</v>
      </c>
      <c r="D189" s="3">
        <v>2.33</v>
      </c>
      <c r="E189" s="3">
        <v>2.71</v>
      </c>
      <c r="F189" s="3">
        <v>3.38</v>
      </c>
      <c r="G189" s="3">
        <v>3.11</v>
      </c>
      <c r="H189" s="3">
        <v>2.6</v>
      </c>
      <c r="I189" s="3">
        <v>4.38</v>
      </c>
      <c r="J189" s="3">
        <v>2.56</v>
      </c>
      <c r="K189" s="3">
        <v>2.12</v>
      </c>
      <c r="L189" s="3">
        <v>1.98</v>
      </c>
      <c r="M189" s="3">
        <v>3.51</v>
      </c>
      <c r="N189" s="3">
        <v>2.95</v>
      </c>
      <c r="O189" s="3">
        <v>3.22</v>
      </c>
      <c r="P189" s="3">
        <v>3</v>
      </c>
      <c r="Q189" s="3">
        <v>3.35</v>
      </c>
      <c r="R189" s="3">
        <v>3.15</v>
      </c>
      <c r="S189" s="3">
        <v>2.96</v>
      </c>
      <c r="T189" s="3">
        <v>3.15</v>
      </c>
      <c r="U189" s="3">
        <v>3.1</v>
      </c>
      <c r="V189" s="3">
        <v>2.35</v>
      </c>
      <c r="W189" s="3" t="s">
        <v>63</v>
      </c>
    </row>
    <row r="190" spans="1:23" x14ac:dyDescent="0.2">
      <c r="A190" s="3" t="s">
        <v>8</v>
      </c>
      <c r="B190" s="3">
        <v>1.38</v>
      </c>
      <c r="C190" s="3">
        <v>1.38</v>
      </c>
      <c r="D190" s="3">
        <v>1.2</v>
      </c>
      <c r="E190" s="3">
        <v>1.1499999999999999</v>
      </c>
      <c r="F190" s="3">
        <v>1.51</v>
      </c>
      <c r="G190" s="3">
        <v>1.55</v>
      </c>
      <c r="H190" s="3">
        <v>1.64</v>
      </c>
      <c r="I190" s="3">
        <v>0.77</v>
      </c>
      <c r="J190" s="3">
        <v>0.84</v>
      </c>
      <c r="K190" s="3">
        <v>0.79</v>
      </c>
      <c r="L190" s="3">
        <v>0.93</v>
      </c>
      <c r="M190" s="3">
        <v>1.08</v>
      </c>
      <c r="N190" s="3">
        <v>1.03</v>
      </c>
      <c r="O190" s="3">
        <v>1.1299999999999999</v>
      </c>
      <c r="P190" s="3">
        <v>0.56999999999999995</v>
      </c>
      <c r="Q190" s="3">
        <v>0.61</v>
      </c>
      <c r="R190" s="3">
        <v>0.74</v>
      </c>
      <c r="S190" s="3">
        <v>1.36</v>
      </c>
      <c r="T190" s="3">
        <v>1.22</v>
      </c>
      <c r="U190" s="3">
        <v>0.77</v>
      </c>
      <c r="V190" s="3">
        <v>0.79</v>
      </c>
      <c r="W190" s="3" t="s">
        <v>63</v>
      </c>
    </row>
    <row r="191" spans="1:23" x14ac:dyDescent="0.2">
      <c r="A191" s="3" t="s">
        <v>5</v>
      </c>
      <c r="B191" s="3">
        <v>2.31</v>
      </c>
      <c r="C191" s="3">
        <v>2.31</v>
      </c>
      <c r="D191" s="3">
        <v>2.11</v>
      </c>
      <c r="E191" s="3">
        <v>1.95</v>
      </c>
      <c r="F191" s="3">
        <v>2.44</v>
      </c>
      <c r="G191" s="3">
        <v>2.67</v>
      </c>
      <c r="H191" s="3">
        <v>2.84</v>
      </c>
      <c r="I191" s="3">
        <v>1.47</v>
      </c>
      <c r="J191" s="3">
        <v>1.81</v>
      </c>
      <c r="K191" s="3">
        <v>1.74</v>
      </c>
      <c r="L191" s="3">
        <v>1.9</v>
      </c>
      <c r="M191" s="3">
        <v>1.89</v>
      </c>
      <c r="N191" s="3">
        <v>1.73</v>
      </c>
      <c r="O191" s="3">
        <v>1.88</v>
      </c>
      <c r="P191" s="3">
        <v>1.1100000000000001</v>
      </c>
      <c r="Q191" s="3">
        <v>1.06</v>
      </c>
      <c r="R191" s="3">
        <v>1.31</v>
      </c>
      <c r="S191" s="3">
        <v>2.1800000000000002</v>
      </c>
      <c r="T191" s="3">
        <v>2.11</v>
      </c>
      <c r="U191" s="3">
        <v>1.22</v>
      </c>
      <c r="V191" s="3">
        <v>1.38</v>
      </c>
      <c r="W191" s="3" t="s">
        <v>63</v>
      </c>
    </row>
    <row r="192" spans="1:23" x14ac:dyDescent="0.2">
      <c r="A192" s="3" t="s">
        <v>26</v>
      </c>
      <c r="B192" s="5">
        <v>1.35E-2</v>
      </c>
      <c r="C192" s="5">
        <v>1.9300000000000001E-2</v>
      </c>
      <c r="D192" s="5">
        <v>3.2899999999999999E-2</v>
      </c>
      <c r="E192" s="5">
        <v>-0.3861</v>
      </c>
      <c r="F192" s="5">
        <v>-6.0699999999999997E-2</v>
      </c>
      <c r="G192" s="5">
        <v>6.1999999999999998E-3</v>
      </c>
      <c r="H192" s="5">
        <v>-0.24340000000000001</v>
      </c>
      <c r="I192" s="5">
        <v>0.12670000000000001</v>
      </c>
      <c r="J192" s="5">
        <v>0.27679999999999999</v>
      </c>
      <c r="K192" s="5">
        <v>0.57869999999999999</v>
      </c>
      <c r="L192" s="5">
        <v>0.61329999999999996</v>
      </c>
      <c r="M192" s="5">
        <v>0.56159999999999999</v>
      </c>
      <c r="N192" s="5">
        <v>0.28570000000000001</v>
      </c>
      <c r="O192" s="5">
        <v>0.19020000000000001</v>
      </c>
      <c r="P192" s="5">
        <v>7.1999999999999998E-3</v>
      </c>
      <c r="Q192" s="5">
        <v>-0.24429999999999999</v>
      </c>
      <c r="R192" s="5">
        <v>0.28999999999999998</v>
      </c>
      <c r="S192" s="5">
        <v>9.0399999999999994E-2</v>
      </c>
      <c r="T192" s="5">
        <v>9.2899999999999996E-2</v>
      </c>
      <c r="U192" s="5">
        <v>0.10970000000000001</v>
      </c>
      <c r="V192" s="3" t="s">
        <v>63</v>
      </c>
    </row>
    <row r="193" spans="1:23" x14ac:dyDescent="0.2">
      <c r="A193" s="3" t="s">
        <v>27</v>
      </c>
      <c r="B193" s="5">
        <v>7.6E-3</v>
      </c>
      <c r="C193" s="5">
        <v>3.0000000000000001E-3</v>
      </c>
      <c r="D193" s="5">
        <v>3.2000000000000002E-3</v>
      </c>
      <c r="E193" s="5">
        <v>-3.9E-2</v>
      </c>
      <c r="F193" s="5">
        <v>-2.6200000000000001E-2</v>
      </c>
      <c r="G193" s="5">
        <v>-1.9099999999999999E-2</v>
      </c>
      <c r="H193" s="5">
        <v>-0.1191</v>
      </c>
      <c r="I193" s="5">
        <v>-1.6899999999999998E-2</v>
      </c>
      <c r="J193" s="5">
        <v>5.0900000000000001E-2</v>
      </c>
      <c r="K193" s="5">
        <v>0.1676</v>
      </c>
      <c r="L193" s="5">
        <v>0.1512</v>
      </c>
      <c r="M193" s="5">
        <v>0.1716</v>
      </c>
      <c r="N193" s="5">
        <v>9.3200000000000005E-2</v>
      </c>
      <c r="O193" s="5">
        <v>7.3099999999999998E-2</v>
      </c>
      <c r="P193" s="5">
        <v>4.2599999999999999E-2</v>
      </c>
      <c r="Q193" s="5">
        <v>3.2399999999999998E-2</v>
      </c>
      <c r="R193" s="5">
        <v>2.87E-2</v>
      </c>
      <c r="S193" s="5">
        <v>3.9399999999999998E-2</v>
      </c>
      <c r="T193" s="5">
        <v>2.3099999999999999E-2</v>
      </c>
      <c r="U193" s="5">
        <v>3.8100000000000002E-2</v>
      </c>
      <c r="V193" s="3" t="s">
        <v>63</v>
      </c>
    </row>
    <row r="194" spans="1:23" x14ac:dyDescent="0.2">
      <c r="A194" s="3" t="s">
        <v>28</v>
      </c>
      <c r="B194" s="5">
        <v>9.2999999999999992E-3</v>
      </c>
      <c r="C194" s="5">
        <v>3.7000000000000002E-3</v>
      </c>
      <c r="D194" s="5">
        <v>3.8999999999999998E-3</v>
      </c>
      <c r="E194" s="5">
        <v>-4.7699999999999999E-2</v>
      </c>
      <c r="F194" s="5">
        <v>-3.2000000000000001E-2</v>
      </c>
      <c r="G194" s="5">
        <v>-2.4199999999999999E-2</v>
      </c>
      <c r="H194" s="5">
        <v>-0.15840000000000001</v>
      </c>
      <c r="I194" s="5">
        <v>-2.3099999999999999E-2</v>
      </c>
      <c r="J194" s="5">
        <v>7.0199999999999999E-2</v>
      </c>
      <c r="K194" s="5">
        <v>0.2271</v>
      </c>
      <c r="L194" s="5">
        <v>0.2011</v>
      </c>
      <c r="M194" s="5">
        <v>0.222</v>
      </c>
      <c r="N194" s="5">
        <v>0.1201</v>
      </c>
      <c r="O194" s="5">
        <v>9.6100000000000005E-2</v>
      </c>
      <c r="P194" s="5">
        <v>5.6399999999999999E-2</v>
      </c>
      <c r="Q194" s="5">
        <v>4.2099999999999999E-2</v>
      </c>
      <c r="R194" s="5">
        <v>3.6299999999999999E-2</v>
      </c>
      <c r="S194" s="5">
        <v>5.0200000000000002E-2</v>
      </c>
      <c r="T194" s="5">
        <v>2.9600000000000001E-2</v>
      </c>
      <c r="U194" s="5">
        <v>4.8899999999999999E-2</v>
      </c>
      <c r="V194" s="3" t="s">
        <v>63</v>
      </c>
    </row>
    <row r="195" spans="1:23" x14ac:dyDescent="0.2">
      <c r="A195" s="3" t="s">
        <v>29</v>
      </c>
      <c r="B195" s="3" t="s">
        <v>12</v>
      </c>
      <c r="C195" s="5">
        <v>-1.2E-2</v>
      </c>
      <c r="D195" s="5">
        <v>-2.9000000000000001E-2</v>
      </c>
      <c r="E195" s="5">
        <v>-4.1000000000000002E-2</v>
      </c>
      <c r="F195" s="3" t="s">
        <v>12</v>
      </c>
      <c r="G195" s="3" t="s">
        <v>12</v>
      </c>
      <c r="H195" s="3" t="s">
        <v>12</v>
      </c>
      <c r="I195" s="3" t="s">
        <v>12</v>
      </c>
      <c r="J195" s="3" t="s">
        <v>12</v>
      </c>
      <c r="K195" s="5">
        <v>0.221</v>
      </c>
      <c r="L195" s="5">
        <v>0.23799999999999999</v>
      </c>
      <c r="M195" s="5">
        <v>0.20200000000000001</v>
      </c>
      <c r="N195" s="5">
        <v>0.16400000000000001</v>
      </c>
      <c r="O195" s="5">
        <v>0.10199999999999999</v>
      </c>
      <c r="P195" s="5">
        <v>8.3000000000000004E-2</v>
      </c>
      <c r="Q195" s="5">
        <v>6.7000000000000004E-2</v>
      </c>
      <c r="R195" s="5">
        <v>5.6000000000000001E-2</v>
      </c>
      <c r="S195" s="5">
        <v>5.5E-2</v>
      </c>
      <c r="T195" s="5">
        <v>5.8000000000000003E-2</v>
      </c>
      <c r="U195" s="5">
        <v>5.8999999999999997E-2</v>
      </c>
      <c r="V195" s="5">
        <v>7.0000000000000007E-2</v>
      </c>
      <c r="W195" s="3" t="s">
        <v>63</v>
      </c>
    </row>
    <row r="196" spans="1:23" x14ac:dyDescent="0.2">
      <c r="A196" s="3" t="s">
        <v>30</v>
      </c>
      <c r="B196" s="5">
        <v>-0.1381</v>
      </c>
      <c r="C196" s="5">
        <v>-0.12609999999999999</v>
      </c>
      <c r="D196" s="5">
        <v>-0.1346</v>
      </c>
      <c r="E196" s="5">
        <v>-0.1166</v>
      </c>
      <c r="F196" s="5">
        <v>-0.16819999999999999</v>
      </c>
      <c r="G196" s="5">
        <v>-4.4600000000000001E-2</v>
      </c>
      <c r="H196" s="5">
        <v>2.18E-2</v>
      </c>
      <c r="I196" s="5">
        <v>9.2799999999999994E-2</v>
      </c>
      <c r="J196" s="5">
        <v>0.1666</v>
      </c>
      <c r="K196" s="5">
        <v>0.1497</v>
      </c>
      <c r="L196" s="5">
        <v>0.14169999999999999</v>
      </c>
      <c r="M196" s="5">
        <v>0.10589999999999999</v>
      </c>
      <c r="N196" s="5">
        <v>5.0200000000000002E-2</v>
      </c>
      <c r="O196" s="5">
        <v>1.0800000000000001E-2</v>
      </c>
      <c r="P196" s="5">
        <v>1.09E-2</v>
      </c>
      <c r="Q196" s="5">
        <v>4.4999999999999997E-3</v>
      </c>
      <c r="R196" s="5">
        <v>8.3000000000000001E-3</v>
      </c>
      <c r="S196" s="5">
        <v>3.5799999999999998E-2</v>
      </c>
      <c r="T196" s="5">
        <v>2.1399999999999999E-2</v>
      </c>
      <c r="U196" s="5">
        <v>2.3900000000000001E-2</v>
      </c>
      <c r="V196" s="5">
        <v>4.02E-2</v>
      </c>
      <c r="W196" s="3" t="s">
        <v>63</v>
      </c>
    </row>
    <row r="197" spans="1:23" x14ac:dyDescent="0.2">
      <c r="A197" s="3" t="s">
        <v>31</v>
      </c>
      <c r="B197" s="5">
        <v>-2.3099999999999999E-2</v>
      </c>
      <c r="C197" s="5">
        <v>-2.46E-2</v>
      </c>
      <c r="D197" s="5">
        <v>-1.6500000000000001E-2</v>
      </c>
      <c r="E197" s="5">
        <v>-9.7199999999999995E-2</v>
      </c>
      <c r="F197" s="5">
        <v>-0.1268</v>
      </c>
      <c r="G197" s="5">
        <v>-0.11269999999999999</v>
      </c>
      <c r="H197" s="5">
        <v>-0.104</v>
      </c>
      <c r="I197" s="5">
        <v>-4.8599999999999997E-2</v>
      </c>
      <c r="J197" s="5">
        <v>2.3300000000000001E-2</v>
      </c>
      <c r="K197" s="5">
        <v>3.6799999999999999E-2</v>
      </c>
      <c r="L197" s="5">
        <v>3.7699999999999997E-2</v>
      </c>
      <c r="M197" s="5">
        <v>2.5399999999999999E-2</v>
      </c>
      <c r="N197" s="5">
        <v>-9.9000000000000008E-3</v>
      </c>
      <c r="O197" s="5">
        <v>-4.2500000000000003E-2</v>
      </c>
      <c r="P197" s="5">
        <v>-2.3699999999999999E-2</v>
      </c>
      <c r="Q197" s="5">
        <v>-2.23E-2</v>
      </c>
      <c r="R197" s="5">
        <v>-2.0999999999999999E-3</v>
      </c>
      <c r="S197" s="5">
        <v>7.6E-3</v>
      </c>
      <c r="T197" s="5">
        <v>-8.0000000000000004E-4</v>
      </c>
      <c r="U197" s="5">
        <v>-3.3E-3</v>
      </c>
      <c r="V197" s="5">
        <v>-3.0999999999999999E-3</v>
      </c>
      <c r="W197" s="3" t="s">
        <v>63</v>
      </c>
    </row>
    <row r="198" spans="1:23" x14ac:dyDescent="0.2">
      <c r="A198" s="3" t="s">
        <v>399</v>
      </c>
      <c r="B198" s="5">
        <v>2.4299999999999999E-2</v>
      </c>
      <c r="C198" s="3" t="s">
        <v>12</v>
      </c>
      <c r="D198" s="5">
        <v>2.2599999999999999E-2</v>
      </c>
      <c r="E198" s="5">
        <v>1.89E-2</v>
      </c>
      <c r="F198" s="5">
        <v>1.72E-2</v>
      </c>
      <c r="G198" s="5">
        <v>1.7100000000000001E-2</v>
      </c>
      <c r="H198" s="5">
        <v>1.24E-2</v>
      </c>
      <c r="I198" s="5">
        <v>1.14E-2</v>
      </c>
      <c r="J198" s="5">
        <v>9.7000000000000003E-3</v>
      </c>
      <c r="K198" s="5">
        <v>7.4000000000000003E-3</v>
      </c>
      <c r="L198" s="5">
        <v>7.4000000000000003E-3</v>
      </c>
      <c r="M198" s="5">
        <v>7.6E-3</v>
      </c>
      <c r="N198" s="5">
        <v>6.1999999999999998E-3</v>
      </c>
      <c r="O198" s="5">
        <v>7.7999999999999996E-3</v>
      </c>
      <c r="P198" s="5">
        <v>7.4000000000000003E-3</v>
      </c>
      <c r="Q198" s="5">
        <v>7.0000000000000001E-3</v>
      </c>
      <c r="R198" s="5">
        <v>7.4000000000000003E-3</v>
      </c>
      <c r="S198" s="5">
        <v>9.5999999999999992E-3</v>
      </c>
      <c r="T198" s="5">
        <v>1.11E-2</v>
      </c>
      <c r="U198" s="5">
        <v>1.0999999999999999E-2</v>
      </c>
      <c r="V198" s="5">
        <v>1.7999999999999999E-2</v>
      </c>
      <c r="W198" s="3" t="s">
        <v>63</v>
      </c>
    </row>
    <row r="199" spans="1:23" x14ac:dyDescent="0.2">
      <c r="A199" s="3" t="s">
        <v>400</v>
      </c>
      <c r="B199" s="3" t="s">
        <v>12</v>
      </c>
      <c r="C199" s="5">
        <v>3.9011</v>
      </c>
      <c r="D199" s="5">
        <v>2.1596000000000002</v>
      </c>
      <c r="E199" s="5">
        <v>1.1859</v>
      </c>
      <c r="F199" s="3" t="s">
        <v>12</v>
      </c>
      <c r="G199" s="3" t="s">
        <v>12</v>
      </c>
      <c r="H199" s="5">
        <v>19.161799999999999</v>
      </c>
      <c r="I199" s="3" t="s">
        <v>12</v>
      </c>
      <c r="J199" s="5">
        <v>0.15509999999999999</v>
      </c>
      <c r="K199" s="5">
        <v>7.2400000000000006E-2</v>
      </c>
      <c r="L199" s="5">
        <v>3.7400000000000003E-2</v>
      </c>
      <c r="M199" s="5">
        <v>4.0800000000000003E-2</v>
      </c>
      <c r="N199" s="5">
        <v>5.16E-2</v>
      </c>
      <c r="O199" s="5">
        <v>0.1137</v>
      </c>
      <c r="P199" s="5">
        <v>0.18010000000000001</v>
      </c>
      <c r="Q199" s="3" t="s">
        <v>12</v>
      </c>
      <c r="R199" s="3" t="s">
        <v>12</v>
      </c>
      <c r="S199" s="5">
        <v>0.1072</v>
      </c>
      <c r="T199" s="5">
        <v>0.4299</v>
      </c>
      <c r="U199" s="5">
        <v>0.48420000000000002</v>
      </c>
      <c r="V199" s="5">
        <v>0.4163</v>
      </c>
      <c r="W199" s="3" t="s">
        <v>63</v>
      </c>
    </row>
    <row r="200" spans="1:23" x14ac:dyDescent="0.2">
      <c r="A200" s="3" t="s">
        <v>203</v>
      </c>
      <c r="B200" s="5">
        <v>-1.4E-3</v>
      </c>
      <c r="C200" s="5">
        <v>-1.1999999999999999E-3</v>
      </c>
      <c r="D200" s="5">
        <v>-1.2999999999999999E-3</v>
      </c>
      <c r="E200" s="5">
        <v>-3.0999999999999999E-3</v>
      </c>
      <c r="F200" s="5">
        <v>2.0999999999999999E-3</v>
      </c>
      <c r="G200" s="5">
        <v>2.0999999999999999E-3</v>
      </c>
      <c r="H200" s="5">
        <v>3.3E-3</v>
      </c>
      <c r="I200" s="5">
        <v>4.7999999999999996E-3</v>
      </c>
      <c r="J200" s="5">
        <v>6.9999999999999999E-4</v>
      </c>
      <c r="K200" s="5">
        <v>-4.0000000000000002E-4</v>
      </c>
      <c r="L200" s="5">
        <v>-1.6000000000000001E-3</v>
      </c>
      <c r="M200" s="5">
        <v>-7.9000000000000008E-3</v>
      </c>
      <c r="N200" s="5">
        <v>-7.7000000000000002E-3</v>
      </c>
      <c r="O200" s="5">
        <v>-2.3999999999999998E-3</v>
      </c>
      <c r="P200" s="5">
        <v>-3.8199999999999998E-2</v>
      </c>
      <c r="Q200" s="5">
        <v>-9.0300000000000005E-2</v>
      </c>
      <c r="R200" s="5">
        <v>-9.4399999999999998E-2</v>
      </c>
      <c r="S200" s="5">
        <v>-0.1023</v>
      </c>
      <c r="T200" s="5">
        <v>-6.4000000000000001E-2</v>
      </c>
      <c r="U200" s="5">
        <v>-9.4000000000000004E-3</v>
      </c>
      <c r="V200" s="5">
        <v>-5.4000000000000003E-3</v>
      </c>
      <c r="W200" s="3" t="s">
        <v>63</v>
      </c>
    </row>
    <row r="201" spans="1:23" x14ac:dyDescent="0.2">
      <c r="A201" s="3" t="s">
        <v>453</v>
      </c>
      <c r="B201" s="5">
        <v>2.3300000000000001E-2</v>
      </c>
      <c r="C201" s="5">
        <v>-1.1999999999999999E-3</v>
      </c>
      <c r="D201" s="5">
        <v>2.1299999999999999E-2</v>
      </c>
      <c r="E201" s="5">
        <v>1.5800000000000002E-2</v>
      </c>
      <c r="F201" s="5">
        <v>1.9300000000000001E-2</v>
      </c>
      <c r="G201" s="5">
        <v>1.9199999999999998E-2</v>
      </c>
      <c r="H201" s="5">
        <v>1.5699999999999999E-2</v>
      </c>
      <c r="I201" s="5">
        <v>1.6199999999999999E-2</v>
      </c>
      <c r="J201" s="5">
        <v>1.04E-2</v>
      </c>
      <c r="K201" s="5">
        <v>7.0000000000000001E-3</v>
      </c>
      <c r="L201" s="5">
        <v>5.7999999999999996E-3</v>
      </c>
      <c r="M201" s="5">
        <v>-4.0000000000000002E-4</v>
      </c>
      <c r="N201" s="5">
        <v>-1.5E-3</v>
      </c>
      <c r="O201" s="5">
        <v>5.4000000000000003E-3</v>
      </c>
      <c r="P201" s="5">
        <v>-3.0800000000000001E-2</v>
      </c>
      <c r="Q201" s="5">
        <v>-8.3299999999999999E-2</v>
      </c>
      <c r="R201" s="5">
        <v>-8.6999999999999994E-2</v>
      </c>
      <c r="S201" s="5">
        <v>-9.2700000000000005E-2</v>
      </c>
      <c r="T201" s="5">
        <v>-5.2900000000000003E-2</v>
      </c>
      <c r="U201" s="5">
        <v>1.6000000000000001E-3</v>
      </c>
      <c r="V201" s="5">
        <v>1.26E-2</v>
      </c>
      <c r="W201" s="3" t="s">
        <v>63</v>
      </c>
    </row>
  </sheetData>
  <hyperlinks>
    <hyperlink ref="A7" r:id="rId1" display="file:///stocks/alb/revenue" xr:uid="{1C1ADD38-87A3-554C-9631-D9816A8A3EA8}"/>
    <hyperlink ref="A169" r:id="rId2" display="file:///stocks/alb/market-cap" xr:uid="{E1276362-9596-A34F-AC85-AECE06AD9DD7}"/>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7F53B-604F-4042-A9A7-A98C726C143A}">
  <sheetPr codeName="Sheet1">
    <tabColor theme="2" tint="-0.249977111117893"/>
  </sheetPr>
  <dimension ref="A5:W201"/>
  <sheetViews>
    <sheetView zoomScale="133" workbookViewId="0">
      <selection activeCell="B11" sqref="B11"/>
    </sheetView>
  </sheetViews>
  <sheetFormatPr baseColWidth="10" defaultRowHeight="16" x14ac:dyDescent="0.2"/>
  <cols>
    <col min="1" max="1" width="25.1640625" bestFit="1" customWidth="1"/>
    <col min="2" max="2" width="15" bestFit="1" customWidth="1"/>
    <col min="3" max="3" width="13.6640625" bestFit="1" customWidth="1"/>
    <col min="4" max="4" width="14.6640625" bestFit="1" customWidth="1"/>
    <col min="5" max="5" width="14.33203125" bestFit="1" customWidth="1"/>
    <col min="6" max="6" width="15" bestFit="1" customWidth="1"/>
    <col min="7" max="7" width="13.6640625" bestFit="1" customWidth="1"/>
    <col min="8" max="8" width="14.6640625" bestFit="1" customWidth="1"/>
    <col min="9" max="9" width="14.33203125" bestFit="1" customWidth="1"/>
    <col min="10" max="10" width="15" bestFit="1" customWidth="1"/>
    <col min="11" max="11" width="13.6640625" bestFit="1" customWidth="1"/>
    <col min="12" max="12" width="14.6640625" bestFit="1" customWidth="1"/>
    <col min="13" max="13" width="14.33203125" bestFit="1" customWidth="1"/>
    <col min="14" max="14" width="15" bestFit="1" customWidth="1"/>
    <col min="15" max="15" width="13.6640625" bestFit="1" customWidth="1"/>
    <col min="16" max="16" width="14.5" bestFit="1" customWidth="1"/>
    <col min="17" max="17" width="14.33203125" bestFit="1" customWidth="1"/>
    <col min="18" max="18" width="15" bestFit="1" customWidth="1"/>
    <col min="19" max="20" width="14.5" bestFit="1" customWidth="1"/>
    <col min="21" max="21" width="14.33203125" bestFit="1" customWidth="1"/>
    <col min="22" max="22" width="15" bestFit="1" customWidth="1"/>
    <col min="23" max="23" width="10" bestFit="1" customWidth="1"/>
  </cols>
  <sheetData>
    <row r="5" spans="1:22" x14ac:dyDescent="0.2">
      <c r="A5" s="1" t="s">
        <v>97</v>
      </c>
      <c r="B5" s="1" t="s">
        <v>535</v>
      </c>
      <c r="C5" s="1" t="s">
        <v>532</v>
      </c>
      <c r="D5" s="1" t="s">
        <v>533</v>
      </c>
      <c r="E5" s="1" t="s">
        <v>529</v>
      </c>
      <c r="F5" s="1" t="s">
        <v>446</v>
      </c>
      <c r="G5" s="1" t="s">
        <v>396</v>
      </c>
      <c r="H5" s="1" t="s">
        <v>98</v>
      </c>
      <c r="I5" s="1" t="s">
        <v>99</v>
      </c>
      <c r="J5" s="1" t="s">
        <v>177</v>
      </c>
      <c r="K5" s="1" t="s">
        <v>178</v>
      </c>
      <c r="L5" s="1" t="s">
        <v>100</v>
      </c>
      <c r="M5" s="1" t="s">
        <v>179</v>
      </c>
      <c r="N5" s="1" t="s">
        <v>180</v>
      </c>
      <c r="O5" s="1" t="s">
        <v>181</v>
      </c>
      <c r="P5" s="1" t="s">
        <v>101</v>
      </c>
      <c r="Q5" s="1" t="s">
        <v>182</v>
      </c>
      <c r="R5" s="1" t="s">
        <v>183</v>
      </c>
      <c r="S5" s="1" t="s">
        <v>184</v>
      </c>
      <c r="T5" s="1" t="s">
        <v>102</v>
      </c>
      <c r="U5" s="1" t="s">
        <v>185</v>
      </c>
      <c r="V5" s="1" t="s">
        <v>439</v>
      </c>
    </row>
    <row r="6" spans="1:22" x14ac:dyDescent="0.2">
      <c r="A6" s="1" t="s">
        <v>10</v>
      </c>
      <c r="B6" s="1" t="s">
        <v>536</v>
      </c>
      <c r="C6" s="1" t="s">
        <v>537</v>
      </c>
      <c r="D6" s="1" t="s">
        <v>538</v>
      </c>
      <c r="E6" s="1" t="s">
        <v>539</v>
      </c>
      <c r="F6" s="1" t="s">
        <v>540</v>
      </c>
      <c r="G6" s="1" t="s">
        <v>541</v>
      </c>
      <c r="H6" s="1" t="s">
        <v>542</v>
      </c>
      <c r="I6" s="1" t="s">
        <v>543</v>
      </c>
      <c r="J6" s="1" t="s">
        <v>544</v>
      </c>
      <c r="K6" s="1" t="s">
        <v>545</v>
      </c>
      <c r="L6" s="1" t="s">
        <v>546</v>
      </c>
      <c r="M6" s="1" t="s">
        <v>547</v>
      </c>
      <c r="N6" s="1" t="s">
        <v>548</v>
      </c>
      <c r="O6" s="1" t="s">
        <v>549</v>
      </c>
      <c r="P6" s="1" t="s">
        <v>550</v>
      </c>
      <c r="Q6" s="1" t="s">
        <v>551</v>
      </c>
      <c r="R6" s="1" t="s">
        <v>552</v>
      </c>
      <c r="S6" s="1" t="s">
        <v>553</v>
      </c>
      <c r="T6" s="1" t="s">
        <v>554</v>
      </c>
      <c r="U6" s="1" t="s">
        <v>555</v>
      </c>
      <c r="V6" s="1" t="s">
        <v>439</v>
      </c>
    </row>
    <row r="7" spans="1:22" ht="17" x14ac:dyDescent="0.2">
      <c r="A7" s="12" t="s">
        <v>32</v>
      </c>
      <c r="B7" s="4">
        <v>165218</v>
      </c>
      <c r="C7" s="4">
        <v>148515</v>
      </c>
      <c r="D7" s="4">
        <v>130497</v>
      </c>
      <c r="E7" s="4">
        <v>113269</v>
      </c>
      <c r="F7" s="4">
        <v>96307</v>
      </c>
      <c r="G7" s="4">
        <v>79774</v>
      </c>
      <c r="H7" s="4">
        <v>60922</v>
      </c>
      <c r="I7" s="4">
        <v>44870</v>
      </c>
      <c r="J7" s="4">
        <v>32681</v>
      </c>
      <c r="K7" s="4">
        <v>25878</v>
      </c>
      <c r="L7" s="4">
        <v>26974</v>
      </c>
      <c r="M7" s="4">
        <v>28566</v>
      </c>
      <c r="N7" s="4">
        <v>29738</v>
      </c>
      <c r="O7" s="4">
        <v>29541</v>
      </c>
      <c r="P7" s="4">
        <v>26914</v>
      </c>
      <c r="Q7" s="4">
        <v>24274</v>
      </c>
      <c r="R7" s="4">
        <v>21897</v>
      </c>
      <c r="S7" s="4">
        <v>19256</v>
      </c>
      <c r="T7" s="4">
        <v>16675</v>
      </c>
      <c r="U7" s="4">
        <v>14777</v>
      </c>
      <c r="V7" s="3" t="s">
        <v>63</v>
      </c>
    </row>
    <row r="8" spans="1:22" x14ac:dyDescent="0.2">
      <c r="A8" s="3" t="s">
        <v>188</v>
      </c>
      <c r="B8" s="5">
        <v>0.71550000000000002</v>
      </c>
      <c r="C8" s="5">
        <v>0.86170000000000002</v>
      </c>
      <c r="D8" s="5">
        <v>1.1419999999999999</v>
      </c>
      <c r="E8" s="5">
        <v>1.5244</v>
      </c>
      <c r="F8" s="5">
        <v>1.9469000000000001</v>
      </c>
      <c r="G8" s="5">
        <v>2.0827</v>
      </c>
      <c r="H8" s="5">
        <v>1.2585999999999999</v>
      </c>
      <c r="I8" s="5">
        <v>0.57069999999999999</v>
      </c>
      <c r="J8" s="5">
        <v>9.9000000000000005E-2</v>
      </c>
      <c r="K8" s="5">
        <v>-0.124</v>
      </c>
      <c r="L8" s="5">
        <v>2.2000000000000001E-3</v>
      </c>
      <c r="M8" s="5">
        <v>0.17680000000000001</v>
      </c>
      <c r="N8" s="5">
        <v>0.35809999999999997</v>
      </c>
      <c r="O8" s="5">
        <v>0.53410000000000002</v>
      </c>
      <c r="P8" s="5">
        <v>0.61399999999999999</v>
      </c>
      <c r="Q8" s="5">
        <v>0.64270000000000005</v>
      </c>
      <c r="R8" s="5">
        <v>0.67600000000000005</v>
      </c>
      <c r="S8" s="5">
        <v>0.63490000000000002</v>
      </c>
      <c r="T8" s="5">
        <v>0.52729999999999999</v>
      </c>
      <c r="U8" s="5">
        <v>0.47499999999999998</v>
      </c>
      <c r="V8" s="3" t="s">
        <v>63</v>
      </c>
    </row>
    <row r="9" spans="1:22" x14ac:dyDescent="0.2">
      <c r="A9" s="3" t="s">
        <v>103</v>
      </c>
      <c r="B9" s="4">
        <v>49818</v>
      </c>
      <c r="C9" s="4">
        <v>44395</v>
      </c>
      <c r="D9" s="4">
        <v>32639</v>
      </c>
      <c r="E9" s="4">
        <v>27343</v>
      </c>
      <c r="F9" s="4">
        <v>23137</v>
      </c>
      <c r="G9" s="4">
        <v>19715</v>
      </c>
      <c r="H9" s="4">
        <v>16621</v>
      </c>
      <c r="I9" s="4">
        <v>13527</v>
      </c>
      <c r="J9" s="4">
        <v>11561</v>
      </c>
      <c r="K9" s="4">
        <v>11305</v>
      </c>
      <c r="L9" s="4">
        <v>11618</v>
      </c>
      <c r="M9" s="4">
        <v>12044</v>
      </c>
      <c r="N9" s="4">
        <v>11761</v>
      </c>
      <c r="O9" s="4">
        <v>10264</v>
      </c>
      <c r="P9" s="4">
        <v>9439</v>
      </c>
      <c r="Q9" s="4">
        <v>8642</v>
      </c>
      <c r="R9" s="4">
        <v>7936</v>
      </c>
      <c r="S9" s="4">
        <v>7074</v>
      </c>
      <c r="T9" s="4">
        <v>6118</v>
      </c>
      <c r="U9" s="4">
        <v>5361</v>
      </c>
      <c r="V9" s="3" t="s">
        <v>63</v>
      </c>
    </row>
    <row r="10" spans="1:22" x14ac:dyDescent="0.2">
      <c r="A10" s="3" t="s">
        <v>1</v>
      </c>
      <c r="B10" s="4">
        <v>115400</v>
      </c>
      <c r="C10" s="4">
        <v>104120</v>
      </c>
      <c r="D10" s="4">
        <v>97858</v>
      </c>
      <c r="E10" s="4">
        <v>85926</v>
      </c>
      <c r="F10" s="4">
        <v>73170</v>
      </c>
      <c r="G10" s="4">
        <v>60059</v>
      </c>
      <c r="H10" s="4">
        <v>44301</v>
      </c>
      <c r="I10" s="4">
        <v>31343</v>
      </c>
      <c r="J10" s="4">
        <v>21120</v>
      </c>
      <c r="K10" s="4">
        <v>14573</v>
      </c>
      <c r="L10" s="4">
        <v>15356</v>
      </c>
      <c r="M10" s="4">
        <v>16522</v>
      </c>
      <c r="N10" s="4">
        <v>17977</v>
      </c>
      <c r="O10" s="4">
        <v>19277</v>
      </c>
      <c r="P10" s="4">
        <v>17475</v>
      </c>
      <c r="Q10" s="4">
        <v>15632</v>
      </c>
      <c r="R10" s="4">
        <v>13961</v>
      </c>
      <c r="S10" s="4">
        <v>12182</v>
      </c>
      <c r="T10" s="4">
        <v>10557</v>
      </c>
      <c r="U10" s="4">
        <v>9416</v>
      </c>
      <c r="V10" s="3" t="s">
        <v>63</v>
      </c>
    </row>
    <row r="11" spans="1:22" x14ac:dyDescent="0.2">
      <c r="A11" s="3" t="s">
        <v>104</v>
      </c>
      <c r="B11" s="4">
        <v>4036</v>
      </c>
      <c r="C11" s="4">
        <v>3755</v>
      </c>
      <c r="D11" s="4">
        <v>3491</v>
      </c>
      <c r="E11" s="4">
        <v>3228</v>
      </c>
      <c r="F11" s="4">
        <v>3019</v>
      </c>
      <c r="G11" s="4">
        <v>2798</v>
      </c>
      <c r="H11" s="4">
        <v>2654</v>
      </c>
      <c r="I11" s="4">
        <v>2567</v>
      </c>
      <c r="J11" s="4">
        <v>2510</v>
      </c>
      <c r="K11" s="4">
        <v>2481</v>
      </c>
      <c r="L11" s="4">
        <v>2440</v>
      </c>
      <c r="M11" s="4">
        <v>2378</v>
      </c>
      <c r="N11" s="4">
        <v>2303</v>
      </c>
      <c r="O11" s="4">
        <v>2238</v>
      </c>
      <c r="P11" s="4">
        <v>2166</v>
      </c>
      <c r="Q11" s="4">
        <v>2078</v>
      </c>
      <c r="R11" s="4">
        <v>2038</v>
      </c>
      <c r="S11" s="4">
        <v>2139</v>
      </c>
      <c r="T11" s="4">
        <v>1912</v>
      </c>
      <c r="U11" s="4">
        <v>1724</v>
      </c>
      <c r="V11" s="3" t="s">
        <v>63</v>
      </c>
    </row>
    <row r="12" spans="1:22" x14ac:dyDescent="0.2">
      <c r="A12" s="3" t="s">
        <v>215</v>
      </c>
      <c r="B12" s="4">
        <v>15384</v>
      </c>
      <c r="C12" s="4">
        <v>14183</v>
      </c>
      <c r="D12" s="4">
        <v>12914</v>
      </c>
      <c r="E12" s="4">
        <v>11665</v>
      </c>
      <c r="F12" s="4">
        <v>10569</v>
      </c>
      <c r="G12" s="4">
        <v>9520</v>
      </c>
      <c r="H12" s="4">
        <v>8675</v>
      </c>
      <c r="I12" s="4">
        <v>8162</v>
      </c>
      <c r="J12" s="4">
        <v>7812</v>
      </c>
      <c r="K12" s="4">
        <v>7596</v>
      </c>
      <c r="L12" s="4">
        <v>7339</v>
      </c>
      <c r="M12" s="4">
        <v>6853</v>
      </c>
      <c r="N12" s="4">
        <v>6313</v>
      </c>
      <c r="O12" s="4">
        <v>5733</v>
      </c>
      <c r="P12" s="4">
        <v>5268</v>
      </c>
      <c r="Q12" s="4">
        <v>4948</v>
      </c>
      <c r="R12" s="4">
        <v>4590</v>
      </c>
      <c r="S12" s="4">
        <v>4342</v>
      </c>
      <c r="T12" s="4">
        <v>3924</v>
      </c>
      <c r="U12" s="4">
        <v>3516</v>
      </c>
      <c r="V12" s="3" t="s">
        <v>63</v>
      </c>
    </row>
    <row r="13" spans="1:22" x14ac:dyDescent="0.2">
      <c r="A13" s="3" t="s">
        <v>105</v>
      </c>
      <c r="B13" s="4">
        <v>19420</v>
      </c>
      <c r="C13" s="4">
        <v>17938</v>
      </c>
      <c r="D13" s="4">
        <v>16405</v>
      </c>
      <c r="E13" s="4">
        <v>14893</v>
      </c>
      <c r="F13" s="4">
        <v>13588</v>
      </c>
      <c r="G13" s="4">
        <v>12318</v>
      </c>
      <c r="H13" s="4">
        <v>11329</v>
      </c>
      <c r="I13" s="4">
        <v>10729</v>
      </c>
      <c r="J13" s="4">
        <v>10322</v>
      </c>
      <c r="K13" s="4">
        <v>10077</v>
      </c>
      <c r="L13" s="4">
        <v>9779</v>
      </c>
      <c r="M13" s="4">
        <v>9231</v>
      </c>
      <c r="N13" s="4">
        <v>8616</v>
      </c>
      <c r="O13" s="4">
        <v>7971</v>
      </c>
      <c r="P13" s="4">
        <v>7434</v>
      </c>
      <c r="Q13" s="4">
        <v>7026</v>
      </c>
      <c r="R13" s="4">
        <v>6628</v>
      </c>
      <c r="S13" s="4">
        <v>6481</v>
      </c>
      <c r="T13" s="4">
        <v>5836</v>
      </c>
      <c r="U13" s="4">
        <v>5240</v>
      </c>
      <c r="V13" s="3" t="s">
        <v>63</v>
      </c>
    </row>
    <row r="14" spans="1:22" x14ac:dyDescent="0.2">
      <c r="A14" s="3" t="s">
        <v>106</v>
      </c>
      <c r="B14" s="4">
        <v>95980</v>
      </c>
      <c r="C14" s="4">
        <v>86182</v>
      </c>
      <c r="D14" s="4">
        <v>81453</v>
      </c>
      <c r="E14" s="4">
        <v>71033</v>
      </c>
      <c r="F14" s="4">
        <v>59582</v>
      </c>
      <c r="G14" s="4">
        <v>47741</v>
      </c>
      <c r="H14" s="4">
        <v>32972</v>
      </c>
      <c r="I14" s="4">
        <v>20614</v>
      </c>
      <c r="J14" s="4">
        <v>10798</v>
      </c>
      <c r="K14" s="4">
        <v>4496</v>
      </c>
      <c r="L14" s="4">
        <v>5577</v>
      </c>
      <c r="M14" s="4">
        <v>7291</v>
      </c>
      <c r="N14" s="4">
        <v>9361</v>
      </c>
      <c r="O14" s="4">
        <v>11306</v>
      </c>
      <c r="P14" s="4">
        <v>10041</v>
      </c>
      <c r="Q14" s="4">
        <v>8606</v>
      </c>
      <c r="R14" s="4">
        <v>7333</v>
      </c>
      <c r="S14" s="4">
        <v>5701</v>
      </c>
      <c r="T14" s="4">
        <v>4721</v>
      </c>
      <c r="U14" s="4">
        <v>4176</v>
      </c>
      <c r="V14" s="3" t="s">
        <v>63</v>
      </c>
    </row>
    <row r="15" spans="1:22" x14ac:dyDescent="0.2">
      <c r="A15" s="3" t="s">
        <v>107</v>
      </c>
      <c r="B15" s="3">
        <v>-246</v>
      </c>
      <c r="C15" s="3">
        <v>-246</v>
      </c>
      <c r="D15" s="3">
        <v>-247</v>
      </c>
      <c r="E15" s="3">
        <v>-249</v>
      </c>
      <c r="F15" s="3">
        <v>-251</v>
      </c>
      <c r="G15" s="3">
        <v>-255</v>
      </c>
      <c r="H15" s="3">
        <v>-257</v>
      </c>
      <c r="I15" s="3">
        <v>-258</v>
      </c>
      <c r="J15" s="3">
        <v>-261</v>
      </c>
      <c r="K15" s="3">
        <v>-260</v>
      </c>
      <c r="L15" s="3">
        <v>-262</v>
      </c>
      <c r="M15" s="3">
        <v>-259</v>
      </c>
      <c r="N15" s="3">
        <v>-255</v>
      </c>
      <c r="O15" s="3">
        <v>-251</v>
      </c>
      <c r="P15" s="3">
        <v>-236</v>
      </c>
      <c r="Q15" s="3">
        <v>-228</v>
      </c>
      <c r="R15" s="3">
        <v>-219</v>
      </c>
      <c r="S15" s="3">
        <v>-212</v>
      </c>
      <c r="T15" s="3">
        <v>-184</v>
      </c>
      <c r="U15" s="3">
        <v>-144</v>
      </c>
      <c r="V15" s="3" t="s">
        <v>63</v>
      </c>
    </row>
    <row r="16" spans="1:22" x14ac:dyDescent="0.2">
      <c r="A16" s="3" t="s">
        <v>108</v>
      </c>
      <c r="B16" s="4">
        <v>2091</v>
      </c>
      <c r="C16" s="4">
        <v>1942</v>
      </c>
      <c r="D16" s="4">
        <v>1786</v>
      </c>
      <c r="E16" s="4">
        <v>1569</v>
      </c>
      <c r="F16" s="4">
        <v>1331</v>
      </c>
      <c r="G16" s="4">
        <v>1075</v>
      </c>
      <c r="H16" s="3">
        <v>866</v>
      </c>
      <c r="I16" s="3">
        <v>687</v>
      </c>
      <c r="J16" s="3">
        <v>541</v>
      </c>
      <c r="K16" s="3">
        <v>399</v>
      </c>
      <c r="L16" s="3">
        <v>267</v>
      </c>
      <c r="M16" s="3">
        <v>161</v>
      </c>
      <c r="N16" s="3">
        <v>80</v>
      </c>
      <c r="O16" s="3">
        <v>41</v>
      </c>
      <c r="P16" s="3">
        <v>29</v>
      </c>
      <c r="Q16" s="3">
        <v>27</v>
      </c>
      <c r="R16" s="3">
        <v>26</v>
      </c>
      <c r="S16" s="3">
        <v>32</v>
      </c>
      <c r="T16" s="3">
        <v>57</v>
      </c>
      <c r="U16" s="3">
        <v>91</v>
      </c>
      <c r="V16" s="3" t="s">
        <v>63</v>
      </c>
    </row>
    <row r="17" spans="1:22" x14ac:dyDescent="0.2">
      <c r="A17" s="3" t="s">
        <v>391</v>
      </c>
      <c r="B17" s="3" t="s">
        <v>12</v>
      </c>
      <c r="C17" s="3" t="s">
        <v>12</v>
      </c>
      <c r="D17" s="3" t="s">
        <v>12</v>
      </c>
      <c r="E17" s="3" t="s">
        <v>12</v>
      </c>
      <c r="F17" s="3" t="s">
        <v>12</v>
      </c>
      <c r="G17" s="3" t="s">
        <v>12</v>
      </c>
      <c r="H17" s="3" t="s">
        <v>12</v>
      </c>
      <c r="I17" s="3" t="s">
        <v>12</v>
      </c>
      <c r="J17" s="3" t="s">
        <v>12</v>
      </c>
      <c r="K17" s="3" t="s">
        <v>12</v>
      </c>
      <c r="L17" s="3" t="s">
        <v>12</v>
      </c>
      <c r="M17" s="3" t="s">
        <v>12</v>
      </c>
      <c r="N17" s="3" t="s">
        <v>12</v>
      </c>
      <c r="O17" s="3" t="s">
        <v>12</v>
      </c>
      <c r="P17" s="3" t="s">
        <v>12</v>
      </c>
      <c r="Q17" s="3">
        <v>4</v>
      </c>
      <c r="R17" s="3">
        <v>4</v>
      </c>
      <c r="S17" s="3">
        <v>4</v>
      </c>
      <c r="T17" s="3" t="s">
        <v>12</v>
      </c>
      <c r="U17" s="3" t="s">
        <v>12</v>
      </c>
      <c r="V17" s="3" t="s">
        <v>63</v>
      </c>
    </row>
    <row r="18" spans="1:22" x14ac:dyDescent="0.2">
      <c r="A18" s="3" t="s">
        <v>338</v>
      </c>
      <c r="B18" s="3">
        <v>-14</v>
      </c>
      <c r="C18" s="3">
        <v>-7</v>
      </c>
      <c r="D18" s="3">
        <v>4</v>
      </c>
      <c r="E18" s="3">
        <v>-2</v>
      </c>
      <c r="F18" s="3">
        <v>2</v>
      </c>
      <c r="G18" s="3">
        <v>6</v>
      </c>
      <c r="H18" s="3">
        <v>-1</v>
      </c>
      <c r="I18" s="3">
        <v>-9</v>
      </c>
      <c r="J18" s="3">
        <v>-11</v>
      </c>
      <c r="K18" s="3">
        <v>-15</v>
      </c>
      <c r="L18" s="3">
        <v>-3</v>
      </c>
      <c r="M18" s="3">
        <v>5</v>
      </c>
      <c r="N18" s="3">
        <v>-8</v>
      </c>
      <c r="O18" s="3">
        <v>7</v>
      </c>
      <c r="P18" s="3">
        <v>7</v>
      </c>
      <c r="Q18" s="3">
        <v>4</v>
      </c>
      <c r="R18" s="3">
        <v>17</v>
      </c>
      <c r="S18" s="3">
        <v>12</v>
      </c>
      <c r="T18" s="3">
        <v>4</v>
      </c>
      <c r="U18" s="3">
        <v>2</v>
      </c>
      <c r="V18" s="3" t="s">
        <v>63</v>
      </c>
    </row>
    <row r="19" spans="1:22" x14ac:dyDescent="0.2">
      <c r="A19" s="3" t="s">
        <v>189</v>
      </c>
      <c r="B19" s="4">
        <v>97811</v>
      </c>
      <c r="C19" s="4">
        <v>87871</v>
      </c>
      <c r="D19" s="4">
        <v>82996</v>
      </c>
      <c r="E19" s="4">
        <v>72351</v>
      </c>
      <c r="F19" s="4">
        <v>60664</v>
      </c>
      <c r="G19" s="4">
        <v>48567</v>
      </c>
      <c r="H19" s="4">
        <v>33580</v>
      </c>
      <c r="I19" s="4">
        <v>21034</v>
      </c>
      <c r="J19" s="4">
        <v>11067</v>
      </c>
      <c r="K19" s="4">
        <v>4620</v>
      </c>
      <c r="L19" s="4">
        <v>5579</v>
      </c>
      <c r="M19" s="4">
        <v>7198</v>
      </c>
      <c r="N19" s="4">
        <v>9178</v>
      </c>
      <c r="O19" s="4">
        <v>11103</v>
      </c>
      <c r="P19" s="4">
        <v>9841</v>
      </c>
      <c r="Q19" s="4">
        <v>8413</v>
      </c>
      <c r="R19" s="4">
        <v>7161</v>
      </c>
      <c r="S19" s="4">
        <v>5537</v>
      </c>
      <c r="T19" s="4">
        <v>4598</v>
      </c>
      <c r="U19" s="4">
        <v>4125</v>
      </c>
      <c r="V19" s="3" t="s">
        <v>63</v>
      </c>
    </row>
    <row r="20" spans="1:22" x14ac:dyDescent="0.2">
      <c r="A20" s="3" t="s">
        <v>440</v>
      </c>
      <c r="B20" s="3" t="s">
        <v>12</v>
      </c>
      <c r="C20" s="3" t="s">
        <v>12</v>
      </c>
      <c r="D20" s="3" t="s">
        <v>12</v>
      </c>
      <c r="E20" s="3" t="s">
        <v>12</v>
      </c>
      <c r="F20" s="3" t="s">
        <v>12</v>
      </c>
      <c r="G20" s="3" t="s">
        <v>12</v>
      </c>
      <c r="H20" s="3" t="s">
        <v>12</v>
      </c>
      <c r="I20" s="3" t="s">
        <v>12</v>
      </c>
      <c r="J20" s="3" t="s">
        <v>12</v>
      </c>
      <c r="K20" s="3" t="s">
        <v>12</v>
      </c>
      <c r="L20" s="4">
        <v>-1353</v>
      </c>
      <c r="M20" s="4">
        <v>-1353</v>
      </c>
      <c r="N20" s="4">
        <v>-1353</v>
      </c>
      <c r="O20" s="4">
        <v>-1353</v>
      </c>
      <c r="P20" s="3" t="s">
        <v>12</v>
      </c>
      <c r="Q20" s="3">
        <v>-28</v>
      </c>
      <c r="R20" s="3">
        <v>-28</v>
      </c>
      <c r="S20" s="3">
        <v>-189</v>
      </c>
      <c r="T20" s="3">
        <v>-189</v>
      </c>
      <c r="U20" s="3">
        <v>-161</v>
      </c>
      <c r="V20" s="3" t="s">
        <v>63</v>
      </c>
    </row>
    <row r="21" spans="1:22" x14ac:dyDescent="0.2">
      <c r="A21" s="3" t="s">
        <v>450</v>
      </c>
      <c r="B21" s="4">
        <v>2839</v>
      </c>
      <c r="C21" s="3">
        <v>786</v>
      </c>
      <c r="D21" s="4">
        <v>1030</v>
      </c>
      <c r="E21" s="3">
        <v>564</v>
      </c>
      <c r="F21" s="3">
        <v>457</v>
      </c>
      <c r="G21" s="3">
        <v>321</v>
      </c>
      <c r="H21" s="3">
        <v>238</v>
      </c>
      <c r="I21" s="3">
        <v>-34</v>
      </c>
      <c r="J21" s="3">
        <v>24</v>
      </c>
      <c r="K21" s="3">
        <v>-35</v>
      </c>
      <c r="L21" s="3">
        <v>-45</v>
      </c>
      <c r="M21" s="3">
        <v>-87</v>
      </c>
      <c r="N21" s="3">
        <v>-42</v>
      </c>
      <c r="O21" s="3">
        <v>-48</v>
      </c>
      <c r="P21" s="3">
        <v>100</v>
      </c>
      <c r="Q21" s="3">
        <v>161</v>
      </c>
      <c r="R21" s="3">
        <v>123</v>
      </c>
      <c r="S21" s="3">
        <v>124</v>
      </c>
      <c r="T21" s="3" t="s">
        <v>12</v>
      </c>
      <c r="U21" s="3">
        <v>-9</v>
      </c>
      <c r="V21" s="3" t="s">
        <v>63</v>
      </c>
    </row>
    <row r="22" spans="1:22" x14ac:dyDescent="0.2">
      <c r="A22" s="3" t="s">
        <v>109</v>
      </c>
      <c r="B22" s="4">
        <v>100650</v>
      </c>
      <c r="C22" s="4">
        <v>88657</v>
      </c>
      <c r="D22" s="4">
        <v>84026</v>
      </c>
      <c r="E22" s="4">
        <v>72915</v>
      </c>
      <c r="F22" s="4">
        <v>61121</v>
      </c>
      <c r="G22" s="4">
        <v>48888</v>
      </c>
      <c r="H22" s="4">
        <v>33818</v>
      </c>
      <c r="I22" s="4">
        <v>21000</v>
      </c>
      <c r="J22" s="4">
        <v>11091</v>
      </c>
      <c r="K22" s="4">
        <v>4585</v>
      </c>
      <c r="L22" s="4">
        <v>4181</v>
      </c>
      <c r="M22" s="4">
        <v>5758</v>
      </c>
      <c r="N22" s="4">
        <v>7783</v>
      </c>
      <c r="O22" s="4">
        <v>9702</v>
      </c>
      <c r="P22" s="4">
        <v>9941</v>
      </c>
      <c r="Q22" s="4">
        <v>8546</v>
      </c>
      <c r="R22" s="4">
        <v>7256</v>
      </c>
      <c r="S22" s="4">
        <v>5472</v>
      </c>
      <c r="T22" s="4">
        <v>4409</v>
      </c>
      <c r="U22" s="4">
        <v>3955</v>
      </c>
      <c r="V22" s="3" t="s">
        <v>63</v>
      </c>
    </row>
    <row r="23" spans="1:22" x14ac:dyDescent="0.2">
      <c r="A23" s="3" t="s">
        <v>110</v>
      </c>
      <c r="B23" s="4">
        <v>14053</v>
      </c>
      <c r="C23" s="4">
        <v>11883</v>
      </c>
      <c r="D23" s="4">
        <v>11146</v>
      </c>
      <c r="E23" s="4">
        <v>9841</v>
      </c>
      <c r="F23" s="4">
        <v>8113</v>
      </c>
      <c r="G23" s="4">
        <v>6290</v>
      </c>
      <c r="H23" s="4">
        <v>4058</v>
      </c>
      <c r="I23" s="4">
        <v>2111</v>
      </c>
      <c r="J23" s="3">
        <v>765</v>
      </c>
      <c r="K23" s="3">
        <v>-208</v>
      </c>
      <c r="L23" s="3">
        <v>-187</v>
      </c>
      <c r="M23" s="3">
        <v>-199</v>
      </c>
      <c r="N23" s="3">
        <v>42</v>
      </c>
      <c r="O23" s="3">
        <v>244</v>
      </c>
      <c r="P23" s="3">
        <v>189</v>
      </c>
      <c r="Q23" s="3">
        <v>340</v>
      </c>
      <c r="R23" s="3">
        <v>178</v>
      </c>
      <c r="S23" s="3">
        <v>145</v>
      </c>
      <c r="T23" s="3">
        <v>77</v>
      </c>
      <c r="U23" s="3">
        <v>129</v>
      </c>
      <c r="V23" s="3" t="s">
        <v>63</v>
      </c>
    </row>
    <row r="24" spans="1:22" x14ac:dyDescent="0.2">
      <c r="A24" s="3" t="s">
        <v>17</v>
      </c>
      <c r="B24" s="4">
        <v>86597</v>
      </c>
      <c r="C24" s="4">
        <v>76774</v>
      </c>
      <c r="D24" s="4">
        <v>72880</v>
      </c>
      <c r="E24" s="4">
        <v>63074</v>
      </c>
      <c r="F24" s="4">
        <v>53008</v>
      </c>
      <c r="G24" s="4">
        <v>42598</v>
      </c>
      <c r="H24" s="4">
        <v>29760</v>
      </c>
      <c r="I24" s="4">
        <v>18889</v>
      </c>
      <c r="J24" s="4">
        <v>10326</v>
      </c>
      <c r="K24" s="4">
        <v>4793</v>
      </c>
      <c r="L24" s="4">
        <v>4368</v>
      </c>
      <c r="M24" s="4">
        <v>5957</v>
      </c>
      <c r="N24" s="4">
        <v>7741</v>
      </c>
      <c r="O24" s="4">
        <v>9458</v>
      </c>
      <c r="P24" s="4">
        <v>9752</v>
      </c>
      <c r="Q24" s="4">
        <v>8206</v>
      </c>
      <c r="R24" s="4">
        <v>7078</v>
      </c>
      <c r="S24" s="4">
        <v>5327</v>
      </c>
      <c r="T24" s="4">
        <v>4332</v>
      </c>
      <c r="U24" s="4">
        <v>3826</v>
      </c>
      <c r="V24" s="3" t="s">
        <v>63</v>
      </c>
    </row>
    <row r="25" spans="1:22" x14ac:dyDescent="0.2">
      <c r="A25" s="3" t="s">
        <v>111</v>
      </c>
      <c r="B25" s="4">
        <v>86597</v>
      </c>
      <c r="C25" s="4">
        <v>76774</v>
      </c>
      <c r="D25" s="4">
        <v>72880</v>
      </c>
      <c r="E25" s="4">
        <v>63074</v>
      </c>
      <c r="F25" s="4">
        <v>53008</v>
      </c>
      <c r="G25" s="4">
        <v>42598</v>
      </c>
      <c r="H25" s="4">
        <v>29760</v>
      </c>
      <c r="I25" s="4">
        <v>18889</v>
      </c>
      <c r="J25" s="4">
        <v>10326</v>
      </c>
      <c r="K25" s="4">
        <v>4793</v>
      </c>
      <c r="L25" s="4">
        <v>4368</v>
      </c>
      <c r="M25" s="4">
        <v>5957</v>
      </c>
      <c r="N25" s="4">
        <v>7741</v>
      </c>
      <c r="O25" s="4">
        <v>9458</v>
      </c>
      <c r="P25" s="4">
        <v>9752</v>
      </c>
      <c r="Q25" s="4">
        <v>8206</v>
      </c>
      <c r="R25" s="4">
        <v>7078</v>
      </c>
      <c r="S25" s="4">
        <v>5327</v>
      </c>
      <c r="T25" s="4">
        <v>4332</v>
      </c>
      <c r="U25" s="4">
        <v>3826</v>
      </c>
      <c r="V25" s="3" t="s">
        <v>63</v>
      </c>
    </row>
    <row r="26" spans="1:22" x14ac:dyDescent="0.2">
      <c r="A26" s="3" t="s">
        <v>447</v>
      </c>
      <c r="B26" s="5">
        <v>0.63370000000000004</v>
      </c>
      <c r="C26" s="5">
        <v>0.80230000000000001</v>
      </c>
      <c r="D26" s="5">
        <v>1.4489000000000001</v>
      </c>
      <c r="E26" s="5">
        <v>2.3391999999999999</v>
      </c>
      <c r="F26" s="5">
        <v>4.1334</v>
      </c>
      <c r="G26" s="5">
        <v>7.8875000000000002</v>
      </c>
      <c r="H26" s="5">
        <v>5.8132000000000001</v>
      </c>
      <c r="I26" s="5">
        <v>2.1709000000000001</v>
      </c>
      <c r="J26" s="5">
        <v>0.33389999999999997</v>
      </c>
      <c r="K26" s="5">
        <v>-0.49320000000000003</v>
      </c>
      <c r="L26" s="5">
        <v>-0.55210000000000004</v>
      </c>
      <c r="M26" s="5">
        <v>-0.27410000000000001</v>
      </c>
      <c r="N26" s="5">
        <v>9.3700000000000006E-2</v>
      </c>
      <c r="O26" s="5">
        <v>0.77549999999999997</v>
      </c>
      <c r="P26" s="5">
        <v>1.2511000000000001</v>
      </c>
      <c r="Q26" s="5">
        <v>1.1448</v>
      </c>
      <c r="R26" s="5">
        <v>1.0891</v>
      </c>
      <c r="S26" s="5">
        <v>0.60499999999999998</v>
      </c>
      <c r="T26" s="5">
        <v>0.5494</v>
      </c>
      <c r="U26" s="5">
        <v>0.58689999999999998</v>
      </c>
      <c r="V26" s="3" t="s">
        <v>63</v>
      </c>
    </row>
    <row r="27" spans="1:22" x14ac:dyDescent="0.2">
      <c r="A27" s="3" t="s">
        <v>112</v>
      </c>
      <c r="B27" s="4">
        <v>24458</v>
      </c>
      <c r="C27" s="4">
        <v>24510</v>
      </c>
      <c r="D27" s="4">
        <v>24555</v>
      </c>
      <c r="E27" s="4">
        <v>24598</v>
      </c>
      <c r="F27" s="4">
        <v>24632</v>
      </c>
      <c r="G27" s="4">
        <v>24670</v>
      </c>
      <c r="H27" s="4">
        <v>24690</v>
      </c>
      <c r="I27" s="4">
        <v>24683</v>
      </c>
      <c r="J27" s="4">
        <v>24728</v>
      </c>
      <c r="K27" s="4">
        <v>24780</v>
      </c>
      <c r="L27" s="4">
        <v>24870</v>
      </c>
      <c r="M27" s="4">
        <v>24975</v>
      </c>
      <c r="N27" s="4">
        <v>25015</v>
      </c>
      <c r="O27" s="4">
        <v>25015</v>
      </c>
      <c r="P27" s="4">
        <v>24960</v>
      </c>
      <c r="Q27" s="4">
        <v>24888</v>
      </c>
      <c r="R27" s="4">
        <v>24815</v>
      </c>
      <c r="S27" s="4">
        <v>24740</v>
      </c>
      <c r="T27" s="4">
        <v>24670</v>
      </c>
      <c r="U27" s="4">
        <v>24570</v>
      </c>
      <c r="V27" s="3" t="s">
        <v>63</v>
      </c>
    </row>
    <row r="28" spans="1:22" x14ac:dyDescent="0.2">
      <c r="A28" s="3" t="s">
        <v>113</v>
      </c>
      <c r="B28" s="4">
        <v>24655</v>
      </c>
      <c r="C28" s="4">
        <v>24734</v>
      </c>
      <c r="D28" s="4">
        <v>24804</v>
      </c>
      <c r="E28" s="4">
        <v>24863</v>
      </c>
      <c r="F28" s="4">
        <v>24901</v>
      </c>
      <c r="G28" s="4">
        <v>24938</v>
      </c>
      <c r="H28" s="4">
        <v>24940</v>
      </c>
      <c r="I28" s="4">
        <v>24898</v>
      </c>
      <c r="J28" s="4">
        <v>24914</v>
      </c>
      <c r="K28" s="4">
        <v>24953</v>
      </c>
      <c r="L28" s="4">
        <v>25070</v>
      </c>
      <c r="M28" s="4">
        <v>25238</v>
      </c>
      <c r="N28" s="4">
        <v>25335</v>
      </c>
      <c r="O28" s="4">
        <v>25373</v>
      </c>
      <c r="P28" s="4">
        <v>25350</v>
      </c>
      <c r="Q28" s="4">
        <v>25310</v>
      </c>
      <c r="R28" s="4">
        <v>25265</v>
      </c>
      <c r="S28" s="4">
        <v>25200</v>
      </c>
      <c r="T28" s="4">
        <v>25100</v>
      </c>
      <c r="U28" s="4">
        <v>24990</v>
      </c>
      <c r="V28" s="3" t="s">
        <v>63</v>
      </c>
    </row>
    <row r="29" spans="1:22" x14ac:dyDescent="0.2">
      <c r="A29" s="3" t="s">
        <v>190</v>
      </c>
      <c r="B29" s="5">
        <v>-9.9000000000000008E-3</v>
      </c>
      <c r="C29" s="5">
        <v>-8.0999999999999996E-3</v>
      </c>
      <c r="D29" s="5">
        <v>-5.4999999999999997E-3</v>
      </c>
      <c r="E29" s="5">
        <v>-1.4E-3</v>
      </c>
      <c r="F29" s="5">
        <v>-5.0000000000000001E-4</v>
      </c>
      <c r="G29" s="5">
        <v>-5.9999999999999995E-4</v>
      </c>
      <c r="H29" s="5">
        <v>-5.1999999999999998E-3</v>
      </c>
      <c r="I29" s="5">
        <v>-1.35E-2</v>
      </c>
      <c r="J29" s="5">
        <v>-1.66E-2</v>
      </c>
      <c r="K29" s="5">
        <v>-1.6500000000000001E-2</v>
      </c>
      <c r="L29" s="5">
        <v>-1.0999999999999999E-2</v>
      </c>
      <c r="M29" s="5">
        <v>-2.8999999999999998E-3</v>
      </c>
      <c r="N29" s="5">
        <v>2.8E-3</v>
      </c>
      <c r="O29" s="5">
        <v>6.8999999999999999E-3</v>
      </c>
      <c r="P29" s="5">
        <v>0.01</v>
      </c>
      <c r="Q29" s="5">
        <v>1.2800000000000001E-2</v>
      </c>
      <c r="R29" s="5">
        <v>1.55E-2</v>
      </c>
      <c r="S29" s="5">
        <v>1.7000000000000001E-2</v>
      </c>
      <c r="T29" s="5">
        <v>1.54E-2</v>
      </c>
      <c r="U29" s="5">
        <v>1.0500000000000001E-2</v>
      </c>
      <c r="V29" s="3" t="s">
        <v>63</v>
      </c>
    </row>
    <row r="30" spans="1:22" x14ac:dyDescent="0.2">
      <c r="A30" s="3" t="s">
        <v>33</v>
      </c>
      <c r="B30" s="3">
        <v>3.54</v>
      </c>
      <c r="C30" s="3">
        <v>3.13</v>
      </c>
      <c r="D30" s="3">
        <v>2.97</v>
      </c>
      <c r="E30" s="3">
        <v>2.56</v>
      </c>
      <c r="F30" s="3">
        <v>2.15</v>
      </c>
      <c r="G30" s="3">
        <v>1.73</v>
      </c>
      <c r="H30" s="3">
        <v>1.21</v>
      </c>
      <c r="I30" s="3">
        <v>0.77</v>
      </c>
      <c r="J30" s="3">
        <v>0.42</v>
      </c>
      <c r="K30" s="3">
        <v>0.19</v>
      </c>
      <c r="L30" s="3">
        <v>0.18</v>
      </c>
      <c r="M30" s="3">
        <v>0.24</v>
      </c>
      <c r="N30" s="3">
        <v>0.31</v>
      </c>
      <c r="O30" s="3">
        <v>0.38</v>
      </c>
      <c r="P30" s="3">
        <v>0.39</v>
      </c>
      <c r="Q30" s="3">
        <v>0.33</v>
      </c>
      <c r="R30" s="3">
        <v>0.28999999999999998</v>
      </c>
      <c r="S30" s="3">
        <v>0.22</v>
      </c>
      <c r="T30" s="3">
        <v>0.18</v>
      </c>
      <c r="U30" s="3">
        <v>0.16</v>
      </c>
      <c r="V30" s="3" t="s">
        <v>63</v>
      </c>
    </row>
    <row r="31" spans="1:22" x14ac:dyDescent="0.2">
      <c r="A31" s="3" t="s">
        <v>34</v>
      </c>
      <c r="B31" s="3">
        <v>3.51</v>
      </c>
      <c r="C31" s="3">
        <v>3.1</v>
      </c>
      <c r="D31" s="3">
        <v>2.94</v>
      </c>
      <c r="E31" s="3">
        <v>2.5299999999999998</v>
      </c>
      <c r="F31" s="3">
        <v>2.13</v>
      </c>
      <c r="G31" s="3">
        <v>1.71</v>
      </c>
      <c r="H31" s="3">
        <v>1.19</v>
      </c>
      <c r="I31" s="3">
        <v>0.76</v>
      </c>
      <c r="J31" s="3">
        <v>0.41</v>
      </c>
      <c r="K31" s="3">
        <v>0.19</v>
      </c>
      <c r="L31" s="3">
        <v>0.17</v>
      </c>
      <c r="M31" s="3">
        <v>0.24</v>
      </c>
      <c r="N31" s="3">
        <v>0.31</v>
      </c>
      <c r="O31" s="3">
        <v>0.37</v>
      </c>
      <c r="P31" s="3">
        <v>0.39</v>
      </c>
      <c r="Q31" s="3">
        <v>0.32</v>
      </c>
      <c r="R31" s="3">
        <v>0.28000000000000003</v>
      </c>
      <c r="S31" s="3">
        <v>0.21</v>
      </c>
      <c r="T31" s="3">
        <v>0.17</v>
      </c>
      <c r="U31" s="3">
        <v>0.15</v>
      </c>
      <c r="V31" s="3" t="s">
        <v>63</v>
      </c>
    </row>
    <row r="32" spans="1:22" x14ac:dyDescent="0.2">
      <c r="A32" s="3" t="s">
        <v>64</v>
      </c>
      <c r="B32" s="5">
        <v>0.64839999999999998</v>
      </c>
      <c r="C32" s="5">
        <v>0.81420000000000003</v>
      </c>
      <c r="D32" s="5">
        <v>1.4705999999999999</v>
      </c>
      <c r="E32" s="5">
        <v>2.3403999999999998</v>
      </c>
      <c r="F32" s="5">
        <v>4.1405000000000003</v>
      </c>
      <c r="G32" s="5">
        <v>8.0152000000000001</v>
      </c>
      <c r="H32" s="5">
        <v>6</v>
      </c>
      <c r="I32" s="5">
        <v>2.2187999999999999</v>
      </c>
      <c r="J32" s="5">
        <v>0.35270000000000001</v>
      </c>
      <c r="K32" s="5">
        <v>-0.49159999999999998</v>
      </c>
      <c r="L32" s="5">
        <v>-0.55840000000000001</v>
      </c>
      <c r="M32" s="5">
        <v>-0.27510000000000001</v>
      </c>
      <c r="N32" s="5">
        <v>9.4600000000000004E-2</v>
      </c>
      <c r="O32" s="5">
        <v>0.75729999999999997</v>
      </c>
      <c r="P32" s="5">
        <v>1.2254</v>
      </c>
      <c r="Q32" s="5">
        <v>1.1215999999999999</v>
      </c>
      <c r="R32" s="5">
        <v>1.052</v>
      </c>
      <c r="S32" s="5">
        <v>0.58650000000000002</v>
      </c>
      <c r="T32" s="5">
        <v>0.53100000000000003</v>
      </c>
      <c r="U32" s="5">
        <v>0.56789999999999996</v>
      </c>
      <c r="V32" s="3" t="s">
        <v>63</v>
      </c>
    </row>
    <row r="33" spans="1:22" x14ac:dyDescent="0.2">
      <c r="A33" s="3" t="s">
        <v>6</v>
      </c>
      <c r="B33" s="4">
        <v>72023</v>
      </c>
      <c r="C33" s="4">
        <v>72064</v>
      </c>
      <c r="D33" s="4">
        <v>60853</v>
      </c>
      <c r="E33" s="4">
        <v>56546</v>
      </c>
      <c r="F33" s="4">
        <v>46786</v>
      </c>
      <c r="G33" s="4">
        <v>39334</v>
      </c>
      <c r="H33" s="4">
        <v>27021</v>
      </c>
      <c r="I33" s="4">
        <v>17515</v>
      </c>
      <c r="J33" s="4">
        <v>10323</v>
      </c>
      <c r="K33" s="4">
        <v>5101</v>
      </c>
      <c r="L33" s="4">
        <v>3808</v>
      </c>
      <c r="M33" s="4">
        <v>4829</v>
      </c>
      <c r="N33" s="4">
        <v>6264</v>
      </c>
      <c r="O33" s="4">
        <v>7926</v>
      </c>
      <c r="P33" s="4">
        <v>8132</v>
      </c>
      <c r="Q33" s="4">
        <v>7156</v>
      </c>
      <c r="R33" s="4">
        <v>6665</v>
      </c>
      <c r="S33" s="4">
        <v>5516</v>
      </c>
      <c r="T33" s="4">
        <v>4694</v>
      </c>
      <c r="U33" s="4">
        <v>4230</v>
      </c>
      <c r="V33" s="3" t="s">
        <v>63</v>
      </c>
    </row>
    <row r="34" spans="1:22" x14ac:dyDescent="0.2">
      <c r="A34" s="3" t="s">
        <v>18</v>
      </c>
      <c r="B34" s="3">
        <v>2.92</v>
      </c>
      <c r="C34" s="3">
        <v>2.91</v>
      </c>
      <c r="D34" s="3">
        <v>2.4500000000000002</v>
      </c>
      <c r="E34" s="3">
        <v>2.27</v>
      </c>
      <c r="F34" s="3">
        <v>1.88</v>
      </c>
      <c r="G34" s="3">
        <v>1.58</v>
      </c>
      <c r="H34" s="3">
        <v>1.08</v>
      </c>
      <c r="I34" s="3">
        <v>0.7</v>
      </c>
      <c r="J34" s="3">
        <v>0.41</v>
      </c>
      <c r="K34" s="3">
        <v>0.2</v>
      </c>
      <c r="L34" s="3">
        <v>0.15</v>
      </c>
      <c r="M34" s="3">
        <v>0.19</v>
      </c>
      <c r="N34" s="3">
        <v>0.25</v>
      </c>
      <c r="O34" s="3">
        <v>0.31</v>
      </c>
      <c r="P34" s="3">
        <v>0.32</v>
      </c>
      <c r="Q34" s="3">
        <v>0.28000000000000003</v>
      </c>
      <c r="R34" s="3">
        <v>0.26</v>
      </c>
      <c r="S34" s="3">
        <v>0.22</v>
      </c>
      <c r="T34" s="3">
        <v>0.19</v>
      </c>
      <c r="U34" s="3">
        <v>0.17</v>
      </c>
      <c r="V34" s="3" t="s">
        <v>63</v>
      </c>
    </row>
    <row r="35" spans="1:22" x14ac:dyDescent="0.2">
      <c r="A35" s="3" t="s">
        <v>35</v>
      </c>
      <c r="B35" s="3">
        <v>0.04</v>
      </c>
      <c r="C35" s="3">
        <v>0.04</v>
      </c>
      <c r="D35" s="3">
        <v>3.4000000000000002E-2</v>
      </c>
      <c r="E35" s="3">
        <v>2.8000000000000001E-2</v>
      </c>
      <c r="F35" s="3">
        <v>2.1999999999999999E-2</v>
      </c>
      <c r="G35" s="3">
        <v>1.6E-2</v>
      </c>
      <c r="H35" s="3">
        <v>1.6E-2</v>
      </c>
      <c r="I35" s="3">
        <v>1.6E-2</v>
      </c>
      <c r="J35" s="3">
        <v>1.6E-2</v>
      </c>
      <c r="K35" s="3">
        <v>1.6E-2</v>
      </c>
      <c r="L35" s="3">
        <v>1.6E-2</v>
      </c>
      <c r="M35" s="3">
        <v>1.6E-2</v>
      </c>
      <c r="N35" s="3">
        <v>1.6E-2</v>
      </c>
      <c r="O35" s="3">
        <v>1.6E-2</v>
      </c>
      <c r="P35" s="3">
        <v>1.6E-2</v>
      </c>
      <c r="Q35" s="3">
        <v>1.6E-2</v>
      </c>
      <c r="R35" s="3">
        <v>1.6E-2</v>
      </c>
      <c r="S35" s="3">
        <v>1.6E-2</v>
      </c>
      <c r="T35" s="3">
        <v>1.6E-2</v>
      </c>
      <c r="U35" s="3">
        <v>1.6E-2</v>
      </c>
      <c r="V35" s="3" t="s">
        <v>63</v>
      </c>
    </row>
    <row r="36" spans="1:22" x14ac:dyDescent="0.2">
      <c r="A36" s="3" t="s">
        <v>451</v>
      </c>
      <c r="B36" s="5">
        <v>0.81820000000000004</v>
      </c>
      <c r="C36" s="5">
        <v>1.5</v>
      </c>
      <c r="D36" s="5">
        <v>1.125</v>
      </c>
      <c r="E36" s="5">
        <v>0.75</v>
      </c>
      <c r="F36" s="5">
        <v>0.375</v>
      </c>
      <c r="G36" s="3" t="s">
        <v>12</v>
      </c>
      <c r="H36" s="3" t="s">
        <v>12</v>
      </c>
      <c r="I36" s="3" t="s">
        <v>12</v>
      </c>
      <c r="J36" s="3" t="s">
        <v>12</v>
      </c>
      <c r="K36" s="3" t="s">
        <v>12</v>
      </c>
      <c r="L36" s="3" t="s">
        <v>12</v>
      </c>
      <c r="M36" s="3" t="s">
        <v>12</v>
      </c>
      <c r="N36" s="3" t="s">
        <v>12</v>
      </c>
      <c r="O36" s="3" t="s">
        <v>12</v>
      </c>
      <c r="P36" s="3" t="s">
        <v>12</v>
      </c>
      <c r="Q36" s="3" t="s">
        <v>12</v>
      </c>
      <c r="R36" s="3" t="s">
        <v>12</v>
      </c>
      <c r="S36" s="3" t="s">
        <v>12</v>
      </c>
      <c r="T36" s="3" t="s">
        <v>12</v>
      </c>
      <c r="U36" s="3" t="s">
        <v>12</v>
      </c>
      <c r="V36" s="3" t="s">
        <v>63</v>
      </c>
    </row>
    <row r="37" spans="1:22" x14ac:dyDescent="0.2">
      <c r="A37" s="3" t="s">
        <v>36</v>
      </c>
      <c r="B37" s="5">
        <v>0.69850000000000001</v>
      </c>
      <c r="C37" s="5">
        <v>0.70109999999999995</v>
      </c>
      <c r="D37" s="5">
        <v>0.74990000000000001</v>
      </c>
      <c r="E37" s="5">
        <v>0.75860000000000005</v>
      </c>
      <c r="F37" s="5">
        <v>0.75980000000000003</v>
      </c>
      <c r="G37" s="5">
        <v>0.75290000000000001</v>
      </c>
      <c r="H37" s="5">
        <v>0.72719999999999996</v>
      </c>
      <c r="I37" s="5">
        <v>0.69850000000000001</v>
      </c>
      <c r="J37" s="5">
        <v>0.64629999999999999</v>
      </c>
      <c r="K37" s="5">
        <v>0.56310000000000004</v>
      </c>
      <c r="L37" s="5">
        <v>0.56930000000000003</v>
      </c>
      <c r="M37" s="5">
        <v>0.57840000000000003</v>
      </c>
      <c r="N37" s="5">
        <v>0.60450000000000004</v>
      </c>
      <c r="O37" s="5">
        <v>0.65249999999999997</v>
      </c>
      <c r="P37" s="5">
        <v>0.64929999999999999</v>
      </c>
      <c r="Q37" s="5">
        <v>0.64400000000000002</v>
      </c>
      <c r="R37" s="5">
        <v>0.63759999999999994</v>
      </c>
      <c r="S37" s="5">
        <v>0.63260000000000005</v>
      </c>
      <c r="T37" s="5">
        <v>0.6331</v>
      </c>
      <c r="U37" s="5">
        <v>0.63719999999999999</v>
      </c>
      <c r="V37" s="3" t="s">
        <v>63</v>
      </c>
    </row>
    <row r="38" spans="1:22" x14ac:dyDescent="0.2">
      <c r="A38" s="3" t="s">
        <v>37</v>
      </c>
      <c r="B38" s="5">
        <v>0.58089999999999997</v>
      </c>
      <c r="C38" s="5">
        <v>0.58030000000000004</v>
      </c>
      <c r="D38" s="5">
        <v>0.62419999999999998</v>
      </c>
      <c r="E38" s="5">
        <v>0.62709999999999999</v>
      </c>
      <c r="F38" s="5">
        <v>0.61870000000000003</v>
      </c>
      <c r="G38" s="5">
        <v>0.59850000000000003</v>
      </c>
      <c r="H38" s="5">
        <v>0.54120000000000001</v>
      </c>
      <c r="I38" s="5">
        <v>0.45939999999999998</v>
      </c>
      <c r="J38" s="5">
        <v>0.33040000000000003</v>
      </c>
      <c r="K38" s="5">
        <v>0.17369999999999999</v>
      </c>
      <c r="L38" s="5">
        <v>0.20669999999999999</v>
      </c>
      <c r="M38" s="5">
        <v>0.25519999999999998</v>
      </c>
      <c r="N38" s="5">
        <v>0.31480000000000002</v>
      </c>
      <c r="O38" s="5">
        <v>0.38269999999999998</v>
      </c>
      <c r="P38" s="5">
        <v>0.37309999999999999</v>
      </c>
      <c r="Q38" s="5">
        <v>0.35449999999999998</v>
      </c>
      <c r="R38" s="5">
        <v>0.33489999999999998</v>
      </c>
      <c r="S38" s="5">
        <v>0.29609999999999997</v>
      </c>
      <c r="T38" s="5">
        <v>0.28310000000000002</v>
      </c>
      <c r="U38" s="5">
        <v>0.28260000000000002</v>
      </c>
      <c r="V38" s="3" t="s">
        <v>63</v>
      </c>
    </row>
    <row r="39" spans="1:22" x14ac:dyDescent="0.2">
      <c r="A39" s="3" t="s">
        <v>38</v>
      </c>
      <c r="B39" s="5">
        <v>0.52410000000000001</v>
      </c>
      <c r="C39" s="5">
        <v>0.51690000000000003</v>
      </c>
      <c r="D39" s="5">
        <v>0.5585</v>
      </c>
      <c r="E39" s="5">
        <v>0.55679999999999996</v>
      </c>
      <c r="F39" s="5">
        <v>0.5504</v>
      </c>
      <c r="G39" s="5">
        <v>0.53400000000000003</v>
      </c>
      <c r="H39" s="5">
        <v>0.48849999999999999</v>
      </c>
      <c r="I39" s="5">
        <v>0.42099999999999999</v>
      </c>
      <c r="J39" s="5">
        <v>0.316</v>
      </c>
      <c r="K39" s="5">
        <v>0.1852</v>
      </c>
      <c r="L39" s="5">
        <v>0.16189999999999999</v>
      </c>
      <c r="M39" s="5">
        <v>0.20849999999999999</v>
      </c>
      <c r="N39" s="5">
        <v>0.26029999999999998</v>
      </c>
      <c r="O39" s="5">
        <v>0.32019999999999998</v>
      </c>
      <c r="P39" s="5">
        <v>0.36230000000000001</v>
      </c>
      <c r="Q39" s="5">
        <v>0.33810000000000001</v>
      </c>
      <c r="R39" s="5">
        <v>0.32319999999999999</v>
      </c>
      <c r="S39" s="5">
        <v>0.27660000000000001</v>
      </c>
      <c r="T39" s="5">
        <v>0.25979999999999998</v>
      </c>
      <c r="U39" s="5">
        <v>0.25890000000000002</v>
      </c>
      <c r="V39" s="3" t="s">
        <v>63</v>
      </c>
    </row>
    <row r="40" spans="1:22" x14ac:dyDescent="0.2">
      <c r="A40" s="3" t="s">
        <v>114</v>
      </c>
      <c r="B40" s="5">
        <v>0.43590000000000001</v>
      </c>
      <c r="C40" s="5">
        <v>0.48520000000000002</v>
      </c>
      <c r="D40" s="5">
        <v>0.46629999999999999</v>
      </c>
      <c r="E40" s="5">
        <v>0.49919999999999998</v>
      </c>
      <c r="F40" s="5">
        <v>0.48580000000000001</v>
      </c>
      <c r="G40" s="5">
        <v>0.49309999999999998</v>
      </c>
      <c r="H40" s="5">
        <v>0.44350000000000001</v>
      </c>
      <c r="I40" s="5">
        <v>0.39029999999999998</v>
      </c>
      <c r="J40" s="5">
        <v>0.31590000000000001</v>
      </c>
      <c r="K40" s="5">
        <v>0.1971</v>
      </c>
      <c r="L40" s="5">
        <v>0.14119999999999999</v>
      </c>
      <c r="M40" s="5">
        <v>0.1691</v>
      </c>
      <c r="N40" s="5">
        <v>0.21060000000000001</v>
      </c>
      <c r="O40" s="5">
        <v>0.26829999999999998</v>
      </c>
      <c r="P40" s="5">
        <v>0.30209999999999998</v>
      </c>
      <c r="Q40" s="5">
        <v>0.29480000000000001</v>
      </c>
      <c r="R40" s="5">
        <v>0.3044</v>
      </c>
      <c r="S40" s="5">
        <v>0.28649999999999998</v>
      </c>
      <c r="T40" s="5">
        <v>0.28149999999999997</v>
      </c>
      <c r="U40" s="5">
        <v>0.2863</v>
      </c>
      <c r="V40" s="3" t="s">
        <v>63</v>
      </c>
    </row>
    <row r="41" spans="1:22" x14ac:dyDescent="0.2">
      <c r="A41" s="3" t="s">
        <v>2</v>
      </c>
      <c r="B41" s="4">
        <v>98281</v>
      </c>
      <c r="C41" s="4">
        <v>88247</v>
      </c>
      <c r="D41" s="4">
        <v>83317</v>
      </c>
      <c r="E41" s="4">
        <v>72741</v>
      </c>
      <c r="F41" s="4">
        <v>61184</v>
      </c>
      <c r="G41" s="4">
        <v>49275</v>
      </c>
      <c r="H41" s="4">
        <v>34480</v>
      </c>
      <c r="I41" s="4">
        <v>22161</v>
      </c>
      <c r="J41" s="4">
        <v>12379</v>
      </c>
      <c r="K41" s="4">
        <v>6090</v>
      </c>
      <c r="L41" s="4">
        <v>7121</v>
      </c>
      <c r="M41" s="4">
        <v>8718</v>
      </c>
      <c r="N41" s="4">
        <v>10680</v>
      </c>
      <c r="O41" s="4">
        <v>12533</v>
      </c>
      <c r="P41" s="4">
        <v>11215</v>
      </c>
      <c r="Q41" s="4">
        <v>9759</v>
      </c>
      <c r="R41" s="4">
        <v>8487</v>
      </c>
      <c r="S41" s="4">
        <v>6973</v>
      </c>
      <c r="T41" s="4">
        <v>5819</v>
      </c>
      <c r="U41" s="4">
        <v>5092</v>
      </c>
      <c r="V41" s="3" t="s">
        <v>63</v>
      </c>
    </row>
    <row r="42" spans="1:22" x14ac:dyDescent="0.2">
      <c r="A42" s="3" t="s">
        <v>115</v>
      </c>
      <c r="B42" s="5">
        <v>0.59489999999999998</v>
      </c>
      <c r="C42" s="5">
        <v>0.59419999999999995</v>
      </c>
      <c r="D42" s="5">
        <v>0.63849999999999996</v>
      </c>
      <c r="E42" s="5">
        <v>0.64219999999999999</v>
      </c>
      <c r="F42" s="5">
        <v>0.63529999999999998</v>
      </c>
      <c r="G42" s="5">
        <v>0.61770000000000003</v>
      </c>
      <c r="H42" s="5">
        <v>0.56599999999999995</v>
      </c>
      <c r="I42" s="5">
        <v>0.49390000000000001</v>
      </c>
      <c r="J42" s="5">
        <v>0.37880000000000003</v>
      </c>
      <c r="K42" s="5">
        <v>0.23530000000000001</v>
      </c>
      <c r="L42" s="5">
        <v>0.26400000000000001</v>
      </c>
      <c r="M42" s="5">
        <v>0.30520000000000003</v>
      </c>
      <c r="N42" s="5">
        <v>0.35909999999999997</v>
      </c>
      <c r="O42" s="5">
        <v>0.42430000000000001</v>
      </c>
      <c r="P42" s="5">
        <v>0.41670000000000001</v>
      </c>
      <c r="Q42" s="5">
        <v>0.40200000000000002</v>
      </c>
      <c r="R42" s="5">
        <v>0.3876</v>
      </c>
      <c r="S42" s="5">
        <v>0.36209999999999998</v>
      </c>
      <c r="T42" s="5">
        <v>0.34899999999999998</v>
      </c>
      <c r="U42" s="5">
        <v>0.34460000000000002</v>
      </c>
      <c r="V42" s="3" t="s">
        <v>63</v>
      </c>
    </row>
    <row r="43" spans="1:22" x14ac:dyDescent="0.2">
      <c r="A43" s="3" t="s">
        <v>116</v>
      </c>
      <c r="B43" s="4">
        <v>2301</v>
      </c>
      <c r="C43" s="4">
        <v>2065</v>
      </c>
      <c r="D43" s="4">
        <v>1864</v>
      </c>
      <c r="E43" s="4">
        <v>1708</v>
      </c>
      <c r="F43" s="4">
        <v>1602</v>
      </c>
      <c r="G43" s="4">
        <v>1534</v>
      </c>
      <c r="H43" s="4">
        <v>1508</v>
      </c>
      <c r="I43" s="4">
        <v>1547</v>
      </c>
      <c r="J43" s="4">
        <v>1581</v>
      </c>
      <c r="K43" s="4">
        <v>1594</v>
      </c>
      <c r="L43" s="4">
        <v>1544</v>
      </c>
      <c r="M43" s="4">
        <v>1427</v>
      </c>
      <c r="N43" s="4">
        <v>1319</v>
      </c>
      <c r="O43" s="4">
        <v>1227</v>
      </c>
      <c r="P43" s="4">
        <v>1174</v>
      </c>
      <c r="Q43" s="4">
        <v>1153</v>
      </c>
      <c r="R43" s="4">
        <v>1154</v>
      </c>
      <c r="S43" s="4">
        <v>1272</v>
      </c>
      <c r="T43" s="4">
        <v>1098</v>
      </c>
      <c r="U43" s="3">
        <v>916</v>
      </c>
      <c r="V43" s="3" t="s">
        <v>63</v>
      </c>
    </row>
    <row r="44" spans="1:22" x14ac:dyDescent="0.2">
      <c r="A44" s="3" t="s">
        <v>3</v>
      </c>
      <c r="B44" s="4">
        <v>95980</v>
      </c>
      <c r="C44" s="4">
        <v>86182</v>
      </c>
      <c r="D44" s="4">
        <v>81453</v>
      </c>
      <c r="E44" s="4">
        <v>71033</v>
      </c>
      <c r="F44" s="4">
        <v>59582</v>
      </c>
      <c r="G44" s="4">
        <v>47741</v>
      </c>
      <c r="H44" s="4">
        <v>32972</v>
      </c>
      <c r="I44" s="4">
        <v>20614</v>
      </c>
      <c r="J44" s="4">
        <v>10798</v>
      </c>
      <c r="K44" s="4">
        <v>4496</v>
      </c>
      <c r="L44" s="4">
        <v>5577</v>
      </c>
      <c r="M44" s="4">
        <v>7291</v>
      </c>
      <c r="N44" s="4">
        <v>9361</v>
      </c>
      <c r="O44" s="4">
        <v>11306</v>
      </c>
      <c r="P44" s="4">
        <v>10041</v>
      </c>
      <c r="Q44" s="4">
        <v>8606</v>
      </c>
      <c r="R44" s="4">
        <v>7333</v>
      </c>
      <c r="S44" s="4">
        <v>5701</v>
      </c>
      <c r="T44" s="4">
        <v>4721</v>
      </c>
      <c r="U44" s="4">
        <v>4176</v>
      </c>
      <c r="V44" s="3" t="s">
        <v>63</v>
      </c>
    </row>
    <row r="45" spans="1:22" x14ac:dyDescent="0.2">
      <c r="A45" s="3" t="s">
        <v>117</v>
      </c>
      <c r="B45" s="5">
        <v>0.58089999999999997</v>
      </c>
      <c r="C45" s="5">
        <v>0.58030000000000004</v>
      </c>
      <c r="D45" s="5">
        <v>0.62419999999999998</v>
      </c>
      <c r="E45" s="5">
        <v>0.62709999999999999</v>
      </c>
      <c r="F45" s="5">
        <v>0.61870000000000003</v>
      </c>
      <c r="G45" s="5">
        <v>0.59850000000000003</v>
      </c>
      <c r="H45" s="5">
        <v>0.54120000000000001</v>
      </c>
      <c r="I45" s="5">
        <v>0.45939999999999998</v>
      </c>
      <c r="J45" s="5">
        <v>0.33040000000000003</v>
      </c>
      <c r="K45" s="5">
        <v>0.17369999999999999</v>
      </c>
      <c r="L45" s="5">
        <v>0.20669999999999999</v>
      </c>
      <c r="M45" s="5">
        <v>0.25519999999999998</v>
      </c>
      <c r="N45" s="5">
        <v>0.31480000000000002</v>
      </c>
      <c r="O45" s="5">
        <v>0.38269999999999998</v>
      </c>
      <c r="P45" s="5">
        <v>0.37309999999999999</v>
      </c>
      <c r="Q45" s="5">
        <v>0.35449999999999998</v>
      </c>
      <c r="R45" s="5">
        <v>0.33489999999999998</v>
      </c>
      <c r="S45" s="5">
        <v>0.29609999999999997</v>
      </c>
      <c r="T45" s="5">
        <v>0.28310000000000002</v>
      </c>
      <c r="U45" s="5">
        <v>0.28260000000000002</v>
      </c>
      <c r="V45" s="3" t="s">
        <v>63</v>
      </c>
    </row>
    <row r="46" spans="1:22" x14ac:dyDescent="0.2">
      <c r="A46" s="3" t="s">
        <v>118</v>
      </c>
      <c r="B46" s="5">
        <v>0.1396</v>
      </c>
      <c r="C46" s="5">
        <v>0.13400000000000001</v>
      </c>
      <c r="D46" s="5">
        <v>0.1326</v>
      </c>
      <c r="E46" s="5">
        <v>0.13500000000000001</v>
      </c>
      <c r="F46" s="5">
        <v>0.13270000000000001</v>
      </c>
      <c r="G46" s="5">
        <v>0.12870000000000001</v>
      </c>
      <c r="H46" s="5">
        <v>0.12</v>
      </c>
      <c r="I46" s="5">
        <v>0.10050000000000001</v>
      </c>
      <c r="J46" s="5">
        <v>6.9000000000000006E-2</v>
      </c>
      <c r="K46" s="3" t="s">
        <v>12</v>
      </c>
      <c r="L46" s="3" t="s">
        <v>12</v>
      </c>
      <c r="M46" s="3" t="s">
        <v>12</v>
      </c>
      <c r="N46" s="5">
        <v>5.4000000000000003E-3</v>
      </c>
      <c r="O46" s="5">
        <v>2.5100000000000001E-2</v>
      </c>
      <c r="P46" s="5">
        <v>1.9E-2</v>
      </c>
      <c r="Q46" s="5">
        <v>3.9800000000000002E-2</v>
      </c>
      <c r="R46" s="5">
        <v>2.4500000000000001E-2</v>
      </c>
      <c r="S46" s="5">
        <v>2.6499999999999999E-2</v>
      </c>
      <c r="T46" s="5">
        <v>1.7500000000000002E-2</v>
      </c>
      <c r="U46" s="5">
        <v>3.2599999999999997E-2</v>
      </c>
      <c r="V46" s="3" t="s">
        <v>63</v>
      </c>
    </row>
    <row r="56" spans="1:22" x14ac:dyDescent="0.2">
      <c r="A56" s="1" t="s">
        <v>97</v>
      </c>
      <c r="B56" s="1" t="s">
        <v>535</v>
      </c>
      <c r="C56" s="1" t="s">
        <v>532</v>
      </c>
      <c r="D56" s="1" t="s">
        <v>533</v>
      </c>
      <c r="E56" s="1" t="s">
        <v>529</v>
      </c>
      <c r="F56" s="1" t="s">
        <v>446</v>
      </c>
      <c r="G56" s="1" t="s">
        <v>396</v>
      </c>
      <c r="H56" s="1" t="s">
        <v>98</v>
      </c>
      <c r="I56" s="1" t="s">
        <v>99</v>
      </c>
      <c r="J56" s="1" t="s">
        <v>177</v>
      </c>
      <c r="K56" s="1" t="s">
        <v>178</v>
      </c>
      <c r="L56" s="1" t="s">
        <v>100</v>
      </c>
      <c r="M56" s="1" t="s">
        <v>179</v>
      </c>
      <c r="N56" s="1" t="s">
        <v>180</v>
      </c>
      <c r="O56" s="1" t="s">
        <v>181</v>
      </c>
      <c r="P56" s="1" t="s">
        <v>101</v>
      </c>
      <c r="Q56" s="1" t="s">
        <v>182</v>
      </c>
      <c r="R56" s="1" t="s">
        <v>183</v>
      </c>
      <c r="S56" s="1" t="s">
        <v>184</v>
      </c>
      <c r="T56" s="1" t="s">
        <v>102</v>
      </c>
      <c r="U56" s="1" t="s">
        <v>185</v>
      </c>
      <c r="V56" s="1" t="s">
        <v>439</v>
      </c>
    </row>
    <row r="57" spans="1:22" ht="30" x14ac:dyDescent="0.2">
      <c r="A57" s="1" t="s">
        <v>10</v>
      </c>
      <c r="B57" s="1" t="s">
        <v>536</v>
      </c>
      <c r="C57" s="1" t="s">
        <v>537</v>
      </c>
      <c r="D57" s="1" t="s">
        <v>538</v>
      </c>
      <c r="E57" s="1" t="s">
        <v>539</v>
      </c>
      <c r="F57" s="1" t="s">
        <v>540</v>
      </c>
      <c r="G57" s="1" t="s">
        <v>541</v>
      </c>
      <c r="H57" s="1" t="s">
        <v>542</v>
      </c>
      <c r="I57" s="1" t="s">
        <v>543</v>
      </c>
      <c r="J57" s="1" t="s">
        <v>544</v>
      </c>
      <c r="K57" s="1" t="s">
        <v>545</v>
      </c>
      <c r="L57" s="1" t="s">
        <v>546</v>
      </c>
      <c r="M57" s="1" t="s">
        <v>547</v>
      </c>
      <c r="N57" s="1" t="s">
        <v>548</v>
      </c>
      <c r="O57" s="1" t="s">
        <v>549</v>
      </c>
      <c r="P57" s="1" t="s">
        <v>550</v>
      </c>
      <c r="Q57" s="1" t="s">
        <v>551</v>
      </c>
      <c r="R57" s="1" t="s">
        <v>552</v>
      </c>
      <c r="S57" s="1" t="s">
        <v>553</v>
      </c>
      <c r="T57" s="1" t="s">
        <v>554</v>
      </c>
      <c r="U57" s="1" t="s">
        <v>555</v>
      </c>
      <c r="V57" s="1" t="s">
        <v>439</v>
      </c>
    </row>
    <row r="58" spans="1:22" x14ac:dyDescent="0.2">
      <c r="A58" s="3" t="s">
        <v>11</v>
      </c>
      <c r="B58" s="4">
        <v>11639</v>
      </c>
      <c r="C58" s="4">
        <v>15234</v>
      </c>
      <c r="D58" s="4">
        <v>8589</v>
      </c>
      <c r="E58" s="4">
        <v>9107</v>
      </c>
      <c r="F58" s="4">
        <v>8563</v>
      </c>
      <c r="G58" s="4">
        <v>7587</v>
      </c>
      <c r="H58" s="4">
        <v>7280</v>
      </c>
      <c r="I58" s="4">
        <v>5519</v>
      </c>
      <c r="J58" s="4">
        <v>5783</v>
      </c>
      <c r="K58" s="4">
        <v>5079</v>
      </c>
      <c r="L58" s="4">
        <v>3389</v>
      </c>
      <c r="M58" s="4">
        <v>2800</v>
      </c>
      <c r="N58" s="4">
        <v>3013</v>
      </c>
      <c r="O58" s="4">
        <v>3887</v>
      </c>
      <c r="P58" s="4">
        <v>1990</v>
      </c>
      <c r="Q58" s="4">
        <v>1288</v>
      </c>
      <c r="R58" s="4">
        <v>5628</v>
      </c>
      <c r="S58" s="3">
        <v>978</v>
      </c>
      <c r="T58" s="3">
        <v>847</v>
      </c>
      <c r="U58" s="4">
        <v>2251</v>
      </c>
      <c r="V58" s="3" t="s">
        <v>63</v>
      </c>
    </row>
    <row r="59" spans="1:22" x14ac:dyDescent="0.2">
      <c r="A59" s="3" t="s">
        <v>556</v>
      </c>
      <c r="B59" s="4">
        <v>45152</v>
      </c>
      <c r="C59" s="4">
        <v>38457</v>
      </c>
      <c r="D59" s="4">
        <v>34621</v>
      </c>
      <c r="E59" s="4">
        <v>29380</v>
      </c>
      <c r="F59" s="4">
        <v>26237</v>
      </c>
      <c r="G59" s="4">
        <v>23851</v>
      </c>
      <c r="H59" s="4">
        <v>18704</v>
      </c>
      <c r="I59" s="4">
        <v>12762</v>
      </c>
      <c r="J59" s="4">
        <v>10240</v>
      </c>
      <c r="K59" s="4">
        <v>10241</v>
      </c>
      <c r="L59" s="4">
        <v>9907</v>
      </c>
      <c r="M59" s="4">
        <v>10343</v>
      </c>
      <c r="N59" s="4">
        <v>14024</v>
      </c>
      <c r="O59" s="4">
        <v>16451</v>
      </c>
      <c r="P59" s="4">
        <v>19218</v>
      </c>
      <c r="Q59" s="4">
        <v>18010</v>
      </c>
      <c r="R59" s="4">
        <v>14026</v>
      </c>
      <c r="S59" s="4">
        <v>11689</v>
      </c>
      <c r="T59" s="4">
        <v>10714</v>
      </c>
      <c r="U59" s="4">
        <v>7888</v>
      </c>
      <c r="V59" s="3" t="s">
        <v>63</v>
      </c>
    </row>
    <row r="60" spans="1:22" x14ac:dyDescent="0.2">
      <c r="A60" s="3" t="s">
        <v>119</v>
      </c>
      <c r="B60" s="4">
        <v>56791</v>
      </c>
      <c r="C60" s="4">
        <v>53691</v>
      </c>
      <c r="D60" s="4">
        <v>43210</v>
      </c>
      <c r="E60" s="4">
        <v>38487</v>
      </c>
      <c r="F60" s="4">
        <v>34800</v>
      </c>
      <c r="G60" s="4">
        <v>31438</v>
      </c>
      <c r="H60" s="4">
        <v>25984</v>
      </c>
      <c r="I60" s="4">
        <v>18281</v>
      </c>
      <c r="J60" s="4">
        <v>16023</v>
      </c>
      <c r="K60" s="4">
        <v>15320</v>
      </c>
      <c r="L60" s="4">
        <v>13296</v>
      </c>
      <c r="M60" s="4">
        <v>13143</v>
      </c>
      <c r="N60" s="4">
        <v>17037</v>
      </c>
      <c r="O60" s="4">
        <v>20338</v>
      </c>
      <c r="P60" s="4">
        <v>21208</v>
      </c>
      <c r="Q60" s="4">
        <v>19298</v>
      </c>
      <c r="R60" s="4">
        <v>19654</v>
      </c>
      <c r="S60" s="4">
        <v>12667</v>
      </c>
      <c r="T60" s="4">
        <v>11561</v>
      </c>
      <c r="U60" s="4">
        <v>10139</v>
      </c>
      <c r="V60" s="3" t="s">
        <v>63</v>
      </c>
    </row>
    <row r="61" spans="1:22" x14ac:dyDescent="0.2">
      <c r="A61" s="3" t="s">
        <v>191</v>
      </c>
      <c r="B61" s="5">
        <v>0.63190000000000002</v>
      </c>
      <c r="C61" s="5">
        <v>0.70779999999999998</v>
      </c>
      <c r="D61" s="5">
        <v>0.66300000000000003</v>
      </c>
      <c r="E61" s="5">
        <v>1.1052999999999999</v>
      </c>
      <c r="F61" s="5">
        <v>1.1718999999999999</v>
      </c>
      <c r="G61" s="5">
        <v>1.0521</v>
      </c>
      <c r="H61" s="5">
        <v>0.95430000000000004</v>
      </c>
      <c r="I61" s="5">
        <v>0.39090000000000003</v>
      </c>
      <c r="J61" s="5">
        <v>-5.9499999999999997E-2</v>
      </c>
      <c r="K61" s="5">
        <v>-0.2467</v>
      </c>
      <c r="L61" s="5">
        <v>-0.37309999999999999</v>
      </c>
      <c r="M61" s="5">
        <v>-0.31890000000000002</v>
      </c>
      <c r="N61" s="5">
        <v>-0.1331</v>
      </c>
      <c r="O61" s="5">
        <v>0.60560000000000003</v>
      </c>
      <c r="P61" s="5">
        <v>0.83440000000000003</v>
      </c>
      <c r="Q61" s="5">
        <v>0.90329999999999999</v>
      </c>
      <c r="R61" s="5">
        <v>0.78979999999999995</v>
      </c>
      <c r="S61" s="5">
        <v>-0.22550000000000001</v>
      </c>
      <c r="T61" s="5">
        <v>6.0900000000000003E-2</v>
      </c>
      <c r="U61" s="5">
        <v>3.7900000000000003E-2</v>
      </c>
      <c r="V61" s="3" t="s">
        <v>63</v>
      </c>
    </row>
    <row r="62" spans="1:22" x14ac:dyDescent="0.2">
      <c r="A62" s="3" t="s">
        <v>120</v>
      </c>
      <c r="B62" s="4">
        <v>27808</v>
      </c>
      <c r="C62" s="4">
        <v>22132</v>
      </c>
      <c r="D62" s="4">
        <v>23065</v>
      </c>
      <c r="E62" s="4">
        <v>17693</v>
      </c>
      <c r="F62" s="4">
        <v>14132</v>
      </c>
      <c r="G62" s="4">
        <v>12365</v>
      </c>
      <c r="H62" s="4">
        <v>9999</v>
      </c>
      <c r="I62" s="4">
        <v>8309</v>
      </c>
      <c r="J62" s="4">
        <v>7066</v>
      </c>
      <c r="K62" s="4">
        <v>4080</v>
      </c>
      <c r="L62" s="4">
        <v>3827</v>
      </c>
      <c r="M62" s="4">
        <v>4908</v>
      </c>
      <c r="N62" s="4">
        <v>5317</v>
      </c>
      <c r="O62" s="4">
        <v>5438</v>
      </c>
      <c r="P62" s="4">
        <v>4650</v>
      </c>
      <c r="Q62" s="4">
        <v>3954</v>
      </c>
      <c r="R62" s="4">
        <v>3586</v>
      </c>
      <c r="S62" s="4">
        <v>3024</v>
      </c>
      <c r="T62" s="4">
        <v>2429</v>
      </c>
      <c r="U62" s="4">
        <v>2546</v>
      </c>
      <c r="V62" s="3" t="s">
        <v>63</v>
      </c>
    </row>
    <row r="63" spans="1:22" x14ac:dyDescent="0.2">
      <c r="A63" s="3" t="s">
        <v>121</v>
      </c>
      <c r="B63" s="4">
        <v>14962</v>
      </c>
      <c r="C63" s="4">
        <v>11333</v>
      </c>
      <c r="D63" s="4">
        <v>10080</v>
      </c>
      <c r="E63" s="4">
        <v>7654</v>
      </c>
      <c r="F63" s="4">
        <v>6675</v>
      </c>
      <c r="G63" s="4">
        <v>9164</v>
      </c>
      <c r="H63" s="4">
        <v>5282</v>
      </c>
      <c r="I63" s="4">
        <v>4779</v>
      </c>
      <c r="J63" s="4">
        <v>4319</v>
      </c>
      <c r="K63" s="4">
        <v>4611</v>
      </c>
      <c r="L63" s="4">
        <v>5159</v>
      </c>
      <c r="M63" s="4">
        <v>4454</v>
      </c>
      <c r="N63" s="4">
        <v>3889</v>
      </c>
      <c r="O63" s="4">
        <v>3163</v>
      </c>
      <c r="P63" s="4">
        <v>2605</v>
      </c>
      <c r="Q63" s="4">
        <v>2233</v>
      </c>
      <c r="R63" s="4">
        <v>2114</v>
      </c>
      <c r="S63" s="4">
        <v>1992</v>
      </c>
      <c r="T63" s="4">
        <v>1826</v>
      </c>
      <c r="U63" s="4">
        <v>1495</v>
      </c>
      <c r="V63" s="3" t="s">
        <v>63</v>
      </c>
    </row>
    <row r="64" spans="1:22" x14ac:dyDescent="0.2">
      <c r="A64" s="3" t="s">
        <v>393</v>
      </c>
      <c r="B64" s="3">
        <v>858</v>
      </c>
      <c r="C64" s="4">
        <v>2779</v>
      </c>
      <c r="D64" s="4">
        <v>3771</v>
      </c>
      <c r="E64" s="3">
        <v>606</v>
      </c>
      <c r="F64" s="4">
        <v>4018</v>
      </c>
      <c r="G64" s="3">
        <v>762</v>
      </c>
      <c r="H64" s="4">
        <v>3080</v>
      </c>
      <c r="I64" s="3">
        <v>546</v>
      </c>
      <c r="J64" s="4">
        <v>1290</v>
      </c>
      <c r="K64" s="3">
        <v>872</v>
      </c>
      <c r="L64" s="3">
        <v>791</v>
      </c>
      <c r="M64" s="3">
        <v>718</v>
      </c>
      <c r="N64" s="4">
        <v>1175</v>
      </c>
      <c r="O64" s="3">
        <v>636</v>
      </c>
      <c r="P64" s="3">
        <v>366</v>
      </c>
      <c r="Q64" s="3">
        <v>321</v>
      </c>
      <c r="R64" s="3">
        <v>195</v>
      </c>
      <c r="S64" s="3">
        <v>179</v>
      </c>
      <c r="T64" s="3">
        <v>239</v>
      </c>
      <c r="U64" s="3">
        <v>213</v>
      </c>
      <c r="V64" s="3" t="s">
        <v>63</v>
      </c>
    </row>
    <row r="65" spans="1:22" x14ac:dyDescent="0.2">
      <c r="A65" s="3" t="s">
        <v>557</v>
      </c>
      <c r="B65" s="3" t="s">
        <v>12</v>
      </c>
      <c r="C65" s="3" t="s">
        <v>12</v>
      </c>
      <c r="D65" s="3" t="s">
        <v>12</v>
      </c>
      <c r="E65" s="3" t="s">
        <v>12</v>
      </c>
      <c r="F65" s="3">
        <v>8</v>
      </c>
      <c r="G65" s="3" t="s">
        <v>12</v>
      </c>
      <c r="H65" s="3" t="s">
        <v>12</v>
      </c>
      <c r="I65" s="3" t="s">
        <v>12</v>
      </c>
      <c r="J65" s="3">
        <v>99</v>
      </c>
      <c r="K65" s="3" t="s">
        <v>12</v>
      </c>
      <c r="L65" s="3" t="s">
        <v>12</v>
      </c>
      <c r="M65" s="3" t="s">
        <v>12</v>
      </c>
      <c r="N65" s="3" t="s">
        <v>12</v>
      </c>
      <c r="O65" s="3" t="s">
        <v>12</v>
      </c>
      <c r="P65" s="3" t="s">
        <v>12</v>
      </c>
      <c r="Q65" s="3" t="s">
        <v>12</v>
      </c>
      <c r="R65" s="3" t="s">
        <v>12</v>
      </c>
      <c r="S65" s="3" t="s">
        <v>12</v>
      </c>
      <c r="T65" s="3" t="s">
        <v>12</v>
      </c>
      <c r="U65" s="3" t="s">
        <v>12</v>
      </c>
      <c r="V65" s="3" t="s">
        <v>63</v>
      </c>
    </row>
    <row r="66" spans="1:22" x14ac:dyDescent="0.2">
      <c r="A66" s="3" t="s">
        <v>122</v>
      </c>
      <c r="B66" s="4">
        <v>1800</v>
      </c>
      <c r="C66" s="3" t="s">
        <v>12</v>
      </c>
      <c r="D66" s="3" t="s">
        <v>12</v>
      </c>
      <c r="E66" s="4">
        <v>3200</v>
      </c>
      <c r="F66" s="3" t="s">
        <v>12</v>
      </c>
      <c r="G66" s="3" t="s">
        <v>12</v>
      </c>
      <c r="H66" s="3" t="s">
        <v>12</v>
      </c>
      <c r="I66" s="3">
        <v>743</v>
      </c>
      <c r="J66" s="3" t="s">
        <v>12</v>
      </c>
      <c r="K66" s="3" t="s">
        <v>12</v>
      </c>
      <c r="L66" s="3" t="s">
        <v>12</v>
      </c>
      <c r="M66" s="3" t="s">
        <v>12</v>
      </c>
      <c r="N66" s="3" t="s">
        <v>12</v>
      </c>
      <c r="O66" s="3" t="s">
        <v>12</v>
      </c>
      <c r="P66" s="3" t="s">
        <v>12</v>
      </c>
      <c r="Q66" s="3" t="s">
        <v>12</v>
      </c>
      <c r="R66" s="3">
        <v>257</v>
      </c>
      <c r="S66" s="3">
        <v>265</v>
      </c>
      <c r="T66" s="3" t="s">
        <v>12</v>
      </c>
      <c r="U66" s="3" t="s">
        <v>12</v>
      </c>
      <c r="V66" s="3" t="s">
        <v>63</v>
      </c>
    </row>
    <row r="67" spans="1:22" x14ac:dyDescent="0.2">
      <c r="A67" s="3" t="s">
        <v>123</v>
      </c>
      <c r="B67" s="4">
        <v>102219</v>
      </c>
      <c r="C67" s="4">
        <v>89935</v>
      </c>
      <c r="D67" s="4">
        <v>80126</v>
      </c>
      <c r="E67" s="4">
        <v>67640</v>
      </c>
      <c r="F67" s="4">
        <v>59633</v>
      </c>
      <c r="G67" s="4">
        <v>53729</v>
      </c>
      <c r="H67" s="4">
        <v>44345</v>
      </c>
      <c r="I67" s="4">
        <v>32658</v>
      </c>
      <c r="J67" s="4">
        <v>28797</v>
      </c>
      <c r="K67" s="4">
        <v>24883</v>
      </c>
      <c r="L67" s="4">
        <v>23073</v>
      </c>
      <c r="M67" s="4">
        <v>23223</v>
      </c>
      <c r="N67" s="4">
        <v>27418</v>
      </c>
      <c r="O67" s="4">
        <v>29575</v>
      </c>
      <c r="P67" s="4">
        <v>28829</v>
      </c>
      <c r="Q67" s="4">
        <v>25806</v>
      </c>
      <c r="R67" s="4">
        <v>25806</v>
      </c>
      <c r="S67" s="4">
        <v>18127</v>
      </c>
      <c r="T67" s="4">
        <v>16055</v>
      </c>
      <c r="U67" s="4">
        <v>14393</v>
      </c>
      <c r="V67" s="3" t="s">
        <v>63</v>
      </c>
    </row>
    <row r="68" spans="1:22" x14ac:dyDescent="0.2">
      <c r="A68" s="3" t="s">
        <v>124</v>
      </c>
      <c r="B68" s="4">
        <v>11225</v>
      </c>
      <c r="C68" s="4">
        <v>8946</v>
      </c>
      <c r="D68" s="4">
        <v>8076</v>
      </c>
      <c r="E68" s="4">
        <v>7098</v>
      </c>
      <c r="F68" s="4">
        <v>6441</v>
      </c>
      <c r="G68" s="4">
        <v>5538</v>
      </c>
      <c r="H68" s="4">
        <v>5260</v>
      </c>
      <c r="I68" s="4">
        <v>5160</v>
      </c>
      <c r="J68" s="4">
        <v>5034</v>
      </c>
      <c r="K68" s="4">
        <v>4834</v>
      </c>
      <c r="L68" s="4">
        <v>4845</v>
      </c>
      <c r="M68" s="4">
        <v>4701</v>
      </c>
      <c r="N68" s="4">
        <v>4085</v>
      </c>
      <c r="O68" s="4">
        <v>3772</v>
      </c>
      <c r="P68" s="4">
        <v>3607</v>
      </c>
      <c r="Q68" s="4">
        <v>3339</v>
      </c>
      <c r="R68" s="4">
        <v>3165</v>
      </c>
      <c r="S68" s="4">
        <v>2995</v>
      </c>
      <c r="T68" s="4">
        <v>2856</v>
      </c>
      <c r="U68" s="4">
        <v>2740</v>
      </c>
      <c r="V68" s="3" t="s">
        <v>63</v>
      </c>
    </row>
    <row r="69" spans="1:22" x14ac:dyDescent="0.2">
      <c r="A69" s="3" t="s">
        <v>442</v>
      </c>
      <c r="B69" s="4">
        <v>3799</v>
      </c>
      <c r="C69" s="4">
        <v>3240</v>
      </c>
      <c r="D69" s="4">
        <v>3387</v>
      </c>
      <c r="E69" s="4">
        <v>2237</v>
      </c>
      <c r="F69" s="4">
        <v>1819</v>
      </c>
      <c r="G69" s="4">
        <v>1750</v>
      </c>
      <c r="H69" s="4">
        <v>1321</v>
      </c>
      <c r="I69" s="4">
        <v>1172</v>
      </c>
      <c r="J69" s="3">
        <v>800</v>
      </c>
      <c r="K69" s="3">
        <v>505</v>
      </c>
      <c r="L69" s="3">
        <v>299</v>
      </c>
      <c r="M69" s="3">
        <v>314</v>
      </c>
      <c r="N69" s="3">
        <v>307</v>
      </c>
      <c r="O69" s="3">
        <v>285</v>
      </c>
      <c r="P69" s="3">
        <v>266</v>
      </c>
      <c r="Q69" s="3">
        <v>308</v>
      </c>
      <c r="R69" s="3">
        <v>147</v>
      </c>
      <c r="S69" s="3">
        <v>146</v>
      </c>
      <c r="T69" s="3">
        <v>144</v>
      </c>
      <c r="U69" s="3">
        <v>106</v>
      </c>
      <c r="V69" s="3" t="s">
        <v>63</v>
      </c>
    </row>
    <row r="70" spans="1:22" x14ac:dyDescent="0.2">
      <c r="A70" s="3" t="s">
        <v>192</v>
      </c>
      <c r="B70" s="4">
        <v>5755</v>
      </c>
      <c r="C70" s="4">
        <v>5498</v>
      </c>
      <c r="D70" s="4">
        <v>5188</v>
      </c>
      <c r="E70" s="4">
        <v>4724</v>
      </c>
      <c r="F70" s="4">
        <v>4622</v>
      </c>
      <c r="G70" s="4">
        <v>4453</v>
      </c>
      <c r="H70" s="4">
        <v>4430</v>
      </c>
      <c r="I70" s="4">
        <v>4430</v>
      </c>
      <c r="J70" s="4">
        <v>4430</v>
      </c>
      <c r="K70" s="4">
        <v>4430</v>
      </c>
      <c r="L70" s="4">
        <v>4372</v>
      </c>
      <c r="M70" s="4">
        <v>4372</v>
      </c>
      <c r="N70" s="4">
        <v>4372</v>
      </c>
      <c r="O70" s="4">
        <v>4365</v>
      </c>
      <c r="P70" s="4">
        <v>4349</v>
      </c>
      <c r="Q70" s="4">
        <v>4302</v>
      </c>
      <c r="R70" s="4">
        <v>4193</v>
      </c>
      <c r="S70" s="4">
        <v>4193</v>
      </c>
      <c r="T70" s="4">
        <v>4193</v>
      </c>
      <c r="U70" s="4">
        <v>4193</v>
      </c>
      <c r="V70" s="3" t="s">
        <v>63</v>
      </c>
    </row>
    <row r="71" spans="1:22" x14ac:dyDescent="0.2">
      <c r="A71" s="3" t="s">
        <v>359</v>
      </c>
      <c r="B71" s="3">
        <v>755</v>
      </c>
      <c r="C71" s="3">
        <v>769</v>
      </c>
      <c r="D71" s="3">
        <v>807</v>
      </c>
      <c r="E71" s="3">
        <v>838</v>
      </c>
      <c r="F71" s="3">
        <v>952</v>
      </c>
      <c r="G71" s="3">
        <v>986</v>
      </c>
      <c r="H71" s="4">
        <v>1112</v>
      </c>
      <c r="I71" s="4">
        <v>1251</v>
      </c>
      <c r="J71" s="4">
        <v>1395</v>
      </c>
      <c r="K71" s="4">
        <v>1541</v>
      </c>
      <c r="L71" s="4">
        <v>1676</v>
      </c>
      <c r="M71" s="4">
        <v>1850</v>
      </c>
      <c r="N71" s="4">
        <v>2036</v>
      </c>
      <c r="O71" s="4">
        <v>2211</v>
      </c>
      <c r="P71" s="4">
        <v>2339</v>
      </c>
      <c r="Q71" s="4">
        <v>2454</v>
      </c>
      <c r="R71" s="4">
        <v>2478</v>
      </c>
      <c r="S71" s="4">
        <v>2613</v>
      </c>
      <c r="T71" s="4">
        <v>2737</v>
      </c>
      <c r="U71" s="4">
        <v>2861</v>
      </c>
      <c r="V71" s="3" t="s">
        <v>63</v>
      </c>
    </row>
    <row r="72" spans="1:22" x14ac:dyDescent="0.2">
      <c r="A72" s="3" t="s">
        <v>395</v>
      </c>
      <c r="B72" s="4">
        <v>13570</v>
      </c>
      <c r="C72" s="4">
        <v>13318</v>
      </c>
      <c r="D72" s="4">
        <v>10979</v>
      </c>
      <c r="E72" s="4">
        <v>10276</v>
      </c>
      <c r="F72" s="4">
        <v>9578</v>
      </c>
      <c r="G72" s="4">
        <v>7798</v>
      </c>
      <c r="H72" s="4">
        <v>6081</v>
      </c>
      <c r="I72" s="4">
        <v>5982</v>
      </c>
      <c r="J72" s="4">
        <v>5398</v>
      </c>
      <c r="K72" s="4">
        <v>4568</v>
      </c>
      <c r="L72" s="4">
        <v>3396</v>
      </c>
      <c r="M72" s="4">
        <v>2762</v>
      </c>
      <c r="N72" s="4">
        <v>2225</v>
      </c>
      <c r="O72" s="4">
        <v>1784</v>
      </c>
      <c r="P72" s="4">
        <v>1222</v>
      </c>
      <c r="Q72" s="3">
        <v>970</v>
      </c>
      <c r="R72" s="3">
        <v>958</v>
      </c>
      <c r="S72" s="3">
        <v>778</v>
      </c>
      <c r="T72" s="3">
        <v>806</v>
      </c>
      <c r="U72" s="3">
        <v>666</v>
      </c>
      <c r="V72" s="3" t="s">
        <v>63</v>
      </c>
    </row>
    <row r="73" spans="1:22" x14ac:dyDescent="0.2">
      <c r="A73" s="3" t="s">
        <v>125</v>
      </c>
      <c r="B73" s="4">
        <v>3417</v>
      </c>
      <c r="C73" s="4">
        <v>3548</v>
      </c>
      <c r="D73" s="4">
        <v>3038</v>
      </c>
      <c r="E73" s="4">
        <v>3200</v>
      </c>
      <c r="F73" s="4">
        <v>2182</v>
      </c>
      <c r="G73" s="4">
        <v>2818</v>
      </c>
      <c r="H73" s="4">
        <v>3179</v>
      </c>
      <c r="I73" s="4">
        <v>3495</v>
      </c>
      <c r="J73" s="4">
        <v>3701</v>
      </c>
      <c r="K73" s="4">
        <v>3699</v>
      </c>
      <c r="L73" s="4">
        <v>3521</v>
      </c>
      <c r="M73" s="4">
        <v>3266</v>
      </c>
      <c r="N73" s="4">
        <v>3033</v>
      </c>
      <c r="O73" s="4">
        <v>3220</v>
      </c>
      <c r="P73" s="4">
        <v>3575</v>
      </c>
      <c r="Q73" s="4">
        <v>3453</v>
      </c>
      <c r="R73" s="4">
        <v>1903</v>
      </c>
      <c r="S73" s="4">
        <v>1944</v>
      </c>
      <c r="T73" s="4">
        <v>2000</v>
      </c>
      <c r="U73" s="4">
        <v>1922</v>
      </c>
      <c r="V73" s="3" t="s">
        <v>63</v>
      </c>
    </row>
    <row r="74" spans="1:22" x14ac:dyDescent="0.2">
      <c r="A74" s="3" t="s">
        <v>126</v>
      </c>
      <c r="B74" s="4">
        <v>140740</v>
      </c>
      <c r="C74" s="4">
        <v>125254</v>
      </c>
      <c r="D74" s="4">
        <v>111601</v>
      </c>
      <c r="E74" s="4">
        <v>96013</v>
      </c>
      <c r="F74" s="4">
        <v>85227</v>
      </c>
      <c r="G74" s="4">
        <v>77072</v>
      </c>
      <c r="H74" s="4">
        <v>65728</v>
      </c>
      <c r="I74" s="4">
        <v>54148</v>
      </c>
      <c r="J74" s="4">
        <v>49555</v>
      </c>
      <c r="K74" s="4">
        <v>44460</v>
      </c>
      <c r="L74" s="4">
        <v>41182</v>
      </c>
      <c r="M74" s="4">
        <v>40488</v>
      </c>
      <c r="N74" s="4">
        <v>43476</v>
      </c>
      <c r="O74" s="4">
        <v>45212</v>
      </c>
      <c r="P74" s="4">
        <v>44187</v>
      </c>
      <c r="Q74" s="4">
        <v>40632</v>
      </c>
      <c r="R74" s="4">
        <v>38650</v>
      </c>
      <c r="S74" s="4">
        <v>30796</v>
      </c>
      <c r="T74" s="4">
        <v>28791</v>
      </c>
      <c r="U74" s="4">
        <v>26881</v>
      </c>
      <c r="V74" s="3" t="s">
        <v>63</v>
      </c>
    </row>
    <row r="75" spans="1:22" x14ac:dyDescent="0.2">
      <c r="A75" s="3" t="s">
        <v>127</v>
      </c>
      <c r="B75" s="4">
        <v>9064</v>
      </c>
      <c r="C75" s="4">
        <v>7331</v>
      </c>
      <c r="D75" s="4">
        <v>6310</v>
      </c>
      <c r="E75" s="4">
        <v>5353</v>
      </c>
      <c r="F75" s="4">
        <v>3680</v>
      </c>
      <c r="G75" s="4">
        <v>2715</v>
      </c>
      <c r="H75" s="4">
        <v>2699</v>
      </c>
      <c r="I75" s="4">
        <v>2380</v>
      </c>
      <c r="J75" s="4">
        <v>1929</v>
      </c>
      <c r="K75" s="4">
        <v>1141</v>
      </c>
      <c r="L75" s="4">
        <v>1193</v>
      </c>
      <c r="M75" s="4">
        <v>1491</v>
      </c>
      <c r="N75" s="4">
        <v>2421</v>
      </c>
      <c r="O75" s="4">
        <v>1999</v>
      </c>
      <c r="P75" s="4">
        <v>1783</v>
      </c>
      <c r="Q75" s="4">
        <v>1664</v>
      </c>
      <c r="R75" s="4">
        <v>1474</v>
      </c>
      <c r="S75" s="4">
        <v>1218</v>
      </c>
      <c r="T75" s="4">
        <v>1149</v>
      </c>
      <c r="U75" s="4">
        <v>1097</v>
      </c>
      <c r="V75" s="3" t="s">
        <v>63</v>
      </c>
    </row>
    <row r="76" spans="1:22" x14ac:dyDescent="0.2">
      <c r="A76" s="3" t="s">
        <v>128</v>
      </c>
      <c r="B76" s="4">
        <v>4381</v>
      </c>
      <c r="C76" s="3">
        <v>748</v>
      </c>
      <c r="D76" s="3">
        <v>848</v>
      </c>
      <c r="E76" s="3">
        <v>677</v>
      </c>
      <c r="F76" s="3">
        <v>941</v>
      </c>
      <c r="G76" s="3">
        <v>639</v>
      </c>
      <c r="H76" s="3">
        <v>675</v>
      </c>
      <c r="I76" s="3">
        <v>516</v>
      </c>
      <c r="J76" s="3">
        <v>642</v>
      </c>
      <c r="K76" s="3">
        <v>320</v>
      </c>
      <c r="L76" s="3">
        <v>530</v>
      </c>
      <c r="M76" s="3">
        <v>307</v>
      </c>
      <c r="N76" s="3">
        <v>421</v>
      </c>
      <c r="O76" s="3">
        <v>327</v>
      </c>
      <c r="P76" s="3">
        <v>409</v>
      </c>
      <c r="Q76" s="3">
        <v>362</v>
      </c>
      <c r="R76" s="3">
        <v>500</v>
      </c>
      <c r="S76" s="3">
        <v>317</v>
      </c>
      <c r="T76" s="3">
        <v>297</v>
      </c>
      <c r="U76" s="3">
        <v>324</v>
      </c>
      <c r="V76" s="3" t="s">
        <v>63</v>
      </c>
    </row>
    <row r="77" spans="1:22" ht="20" customHeight="1" x14ac:dyDescent="0.2">
      <c r="A77" s="3" t="s">
        <v>360</v>
      </c>
      <c r="B77" s="3" t="s">
        <v>12</v>
      </c>
      <c r="C77" s="3" t="s">
        <v>12</v>
      </c>
      <c r="D77" s="3" t="s">
        <v>12</v>
      </c>
      <c r="E77" s="3" t="s">
        <v>12</v>
      </c>
      <c r="F77" s="3" t="s">
        <v>12</v>
      </c>
      <c r="G77" s="4">
        <v>1250</v>
      </c>
      <c r="H77" s="4">
        <v>1250</v>
      </c>
      <c r="I77" s="4">
        <v>1249</v>
      </c>
      <c r="J77" s="4">
        <v>1249</v>
      </c>
      <c r="K77" s="4">
        <v>1250</v>
      </c>
      <c r="L77" s="4">
        <v>1250</v>
      </c>
      <c r="M77" s="4">
        <v>1249</v>
      </c>
      <c r="N77" s="4">
        <v>1249</v>
      </c>
      <c r="O77" s="3" t="s">
        <v>12</v>
      </c>
      <c r="P77" s="3" t="s">
        <v>12</v>
      </c>
      <c r="Q77" s="3" t="s">
        <v>12</v>
      </c>
      <c r="R77" s="4">
        <v>1000</v>
      </c>
      <c r="S77" s="3">
        <v>999</v>
      </c>
      <c r="T77" s="3">
        <v>999</v>
      </c>
      <c r="U77" s="3">
        <v>998</v>
      </c>
      <c r="V77" s="3" t="s">
        <v>63</v>
      </c>
    </row>
    <row r="78" spans="1:22" x14ac:dyDescent="0.2">
      <c r="A78" s="3" t="s">
        <v>129</v>
      </c>
      <c r="B78" s="3">
        <v>301</v>
      </c>
      <c r="C78" s="3">
        <v>300</v>
      </c>
      <c r="D78" s="3">
        <v>288</v>
      </c>
      <c r="E78" s="3">
        <v>273</v>
      </c>
      <c r="F78" s="3">
        <v>250</v>
      </c>
      <c r="G78" s="3">
        <v>246</v>
      </c>
      <c r="H78" s="3">
        <v>228</v>
      </c>
      <c r="I78" s="3">
        <v>230</v>
      </c>
      <c r="J78" s="3">
        <v>208</v>
      </c>
      <c r="K78" s="3">
        <v>187</v>
      </c>
      <c r="L78" s="3">
        <v>176</v>
      </c>
      <c r="M78" s="3">
        <v>156</v>
      </c>
      <c r="N78" s="3">
        <v>145</v>
      </c>
      <c r="O78" s="3">
        <v>147</v>
      </c>
      <c r="P78" s="3">
        <v>144</v>
      </c>
      <c r="Q78" s="3">
        <v>140</v>
      </c>
      <c r="R78" s="3">
        <v>132</v>
      </c>
      <c r="S78" s="3">
        <v>135</v>
      </c>
      <c r="T78" s="3" t="s">
        <v>12</v>
      </c>
      <c r="U78" s="3">
        <v>116</v>
      </c>
      <c r="V78" s="3" t="s">
        <v>63</v>
      </c>
    </row>
    <row r="79" spans="1:22" x14ac:dyDescent="0.2">
      <c r="A79" s="3" t="s">
        <v>193</v>
      </c>
      <c r="B79" s="4">
        <v>1910</v>
      </c>
      <c r="C79" s="4">
        <v>5672</v>
      </c>
      <c r="D79" s="3">
        <v>881</v>
      </c>
      <c r="E79" s="4">
        <v>1356</v>
      </c>
      <c r="F79" s="4">
        <v>1173</v>
      </c>
      <c r="G79" s="4">
        <v>3881</v>
      </c>
      <c r="H79" s="3">
        <v>296</v>
      </c>
      <c r="I79" s="3">
        <v>420</v>
      </c>
      <c r="J79" s="4">
        <v>2803</v>
      </c>
      <c r="K79" s="4">
        <v>1544</v>
      </c>
      <c r="L79" s="3">
        <v>467</v>
      </c>
      <c r="M79" s="3">
        <v>108</v>
      </c>
      <c r="N79" s="3">
        <v>158</v>
      </c>
      <c r="O79" s="3">
        <v>736</v>
      </c>
      <c r="P79" s="3">
        <v>132</v>
      </c>
      <c r="Q79" s="3">
        <v>36</v>
      </c>
      <c r="R79" s="3">
        <v>64</v>
      </c>
      <c r="S79" s="3">
        <v>96</v>
      </c>
      <c r="T79" s="3" t="s">
        <v>12</v>
      </c>
      <c r="U79" s="3">
        <v>70</v>
      </c>
      <c r="V79" s="3" t="s">
        <v>63</v>
      </c>
    </row>
    <row r="80" spans="1:22" x14ac:dyDescent="0.2">
      <c r="A80" s="3" t="s">
        <v>488</v>
      </c>
      <c r="B80" s="3">
        <v>980</v>
      </c>
      <c r="C80" s="4">
        <v>1074</v>
      </c>
      <c r="D80" s="3">
        <v>837</v>
      </c>
      <c r="E80" s="3">
        <v>752</v>
      </c>
      <c r="F80" s="3">
        <v>948</v>
      </c>
      <c r="G80" s="3">
        <v>845</v>
      </c>
      <c r="H80" s="3">
        <v>764</v>
      </c>
      <c r="I80" s="3">
        <v>513</v>
      </c>
      <c r="J80" s="3">
        <v>421</v>
      </c>
      <c r="K80" s="3">
        <v>367</v>
      </c>
      <c r="L80" s="3">
        <v>354</v>
      </c>
      <c r="M80" s="3">
        <v>338</v>
      </c>
      <c r="N80" s="3">
        <v>359</v>
      </c>
      <c r="O80" s="3">
        <v>334</v>
      </c>
      <c r="P80" s="3">
        <v>300</v>
      </c>
      <c r="Q80" s="3">
        <v>298</v>
      </c>
      <c r="R80" s="3">
        <v>301</v>
      </c>
      <c r="S80" s="3">
        <v>333</v>
      </c>
      <c r="T80" s="3">
        <v>288</v>
      </c>
      <c r="U80" s="3">
        <v>235</v>
      </c>
      <c r="V80" s="3" t="s">
        <v>63</v>
      </c>
    </row>
    <row r="81" spans="1:22" x14ac:dyDescent="0.2">
      <c r="A81" s="3" t="s">
        <v>130</v>
      </c>
      <c r="B81" s="4">
        <v>7621</v>
      </c>
      <c r="C81" s="4">
        <v>11417</v>
      </c>
      <c r="D81" s="4">
        <v>8883</v>
      </c>
      <c r="E81" s="4">
        <v>8068</v>
      </c>
      <c r="F81" s="4">
        <v>6977</v>
      </c>
      <c r="G81" s="4">
        <v>5647</v>
      </c>
      <c r="H81" s="4">
        <v>4719</v>
      </c>
      <c r="I81" s="4">
        <v>3793</v>
      </c>
      <c r="J81" s="4">
        <v>3082</v>
      </c>
      <c r="K81" s="4">
        <v>2451</v>
      </c>
      <c r="L81" s="4">
        <v>2593</v>
      </c>
      <c r="M81" s="4">
        <v>3206</v>
      </c>
      <c r="N81" s="4">
        <v>2820</v>
      </c>
      <c r="O81" s="4">
        <v>2019</v>
      </c>
      <c r="P81" s="4">
        <v>1567</v>
      </c>
      <c r="Q81" s="4">
        <v>1112</v>
      </c>
      <c r="R81" s="3">
        <v>977</v>
      </c>
      <c r="S81" s="3">
        <v>906</v>
      </c>
      <c r="T81" s="4">
        <v>1192</v>
      </c>
      <c r="U81" s="3">
        <v>829</v>
      </c>
      <c r="V81" s="3" t="s">
        <v>63</v>
      </c>
    </row>
    <row r="82" spans="1:22" x14ac:dyDescent="0.2">
      <c r="A82" s="3" t="s">
        <v>131</v>
      </c>
      <c r="B82" s="4">
        <v>24257</v>
      </c>
      <c r="C82" s="4">
        <v>26542</v>
      </c>
      <c r="D82" s="4">
        <v>18047</v>
      </c>
      <c r="E82" s="4">
        <v>16479</v>
      </c>
      <c r="F82" s="4">
        <v>13969</v>
      </c>
      <c r="G82" s="4">
        <v>15223</v>
      </c>
      <c r="H82" s="4">
        <v>10631</v>
      </c>
      <c r="I82" s="4">
        <v>9101</v>
      </c>
      <c r="J82" s="4">
        <v>10334</v>
      </c>
      <c r="K82" s="4">
        <v>7260</v>
      </c>
      <c r="L82" s="4">
        <v>6563</v>
      </c>
      <c r="M82" s="4">
        <v>6855</v>
      </c>
      <c r="N82" s="4">
        <v>7573</v>
      </c>
      <c r="O82" s="4">
        <v>5562</v>
      </c>
      <c r="P82" s="4">
        <v>4335</v>
      </c>
      <c r="Q82" s="4">
        <v>3612</v>
      </c>
      <c r="R82" s="4">
        <v>4448</v>
      </c>
      <c r="S82" s="4">
        <v>4004</v>
      </c>
      <c r="T82" s="4">
        <v>3925</v>
      </c>
      <c r="U82" s="4">
        <v>3669</v>
      </c>
      <c r="V82" s="3" t="s">
        <v>63</v>
      </c>
    </row>
    <row r="83" spans="1:22" x14ac:dyDescent="0.2">
      <c r="A83" s="3" t="s">
        <v>132</v>
      </c>
      <c r="B83" s="4">
        <v>8466</v>
      </c>
      <c r="C83" s="4">
        <v>8464</v>
      </c>
      <c r="D83" s="4">
        <v>8463</v>
      </c>
      <c r="E83" s="4">
        <v>8462</v>
      </c>
      <c r="F83" s="4">
        <v>8461</v>
      </c>
      <c r="G83" s="4">
        <v>8460</v>
      </c>
      <c r="H83" s="4">
        <v>8459</v>
      </c>
      <c r="I83" s="4">
        <v>8457</v>
      </c>
      <c r="J83" s="4">
        <v>8456</v>
      </c>
      <c r="K83" s="4">
        <v>9704</v>
      </c>
      <c r="L83" s="4">
        <v>9703</v>
      </c>
      <c r="M83" s="4">
        <v>9701</v>
      </c>
      <c r="N83" s="4">
        <v>9700</v>
      </c>
      <c r="O83" s="4">
        <v>10947</v>
      </c>
      <c r="P83" s="4">
        <v>10946</v>
      </c>
      <c r="Q83" s="4">
        <v>10944</v>
      </c>
      <c r="R83" s="4">
        <v>10943</v>
      </c>
      <c r="S83" s="4">
        <v>5964</v>
      </c>
      <c r="T83" s="4">
        <v>5964</v>
      </c>
      <c r="U83" s="4">
        <v>5963</v>
      </c>
      <c r="V83" s="3" t="s">
        <v>63</v>
      </c>
    </row>
    <row r="84" spans="1:22" x14ac:dyDescent="0.2">
      <c r="A84" s="3" t="s">
        <v>133</v>
      </c>
      <c r="B84" s="4">
        <v>1831</v>
      </c>
      <c r="C84" s="4">
        <v>1521</v>
      </c>
      <c r="D84" s="4">
        <v>1519</v>
      </c>
      <c r="E84" s="4">
        <v>1490</v>
      </c>
      <c r="F84" s="4">
        <v>1304</v>
      </c>
      <c r="G84" s="4">
        <v>1281</v>
      </c>
      <c r="H84" s="4">
        <v>1119</v>
      </c>
      <c r="I84" s="4">
        <v>1091</v>
      </c>
      <c r="J84" s="4">
        <v>1041</v>
      </c>
      <c r="K84" s="3">
        <v>939</v>
      </c>
      <c r="L84" s="3">
        <v>902</v>
      </c>
      <c r="M84" s="3">
        <v>798</v>
      </c>
      <c r="N84" s="3">
        <v>743</v>
      </c>
      <c r="O84" s="3">
        <v>752</v>
      </c>
      <c r="P84" s="3">
        <v>741</v>
      </c>
      <c r="Q84" s="3">
        <v>743</v>
      </c>
      <c r="R84" s="3">
        <v>716</v>
      </c>
      <c r="S84" s="3">
        <v>640</v>
      </c>
      <c r="T84" s="3">
        <v>634</v>
      </c>
      <c r="U84" s="3">
        <v>604</v>
      </c>
      <c r="V84" s="3" t="s">
        <v>63</v>
      </c>
    </row>
    <row r="85" spans="1:22" x14ac:dyDescent="0.2">
      <c r="A85" s="3" t="s">
        <v>468</v>
      </c>
      <c r="B85" s="4">
        <v>1055</v>
      </c>
      <c r="C85" s="4">
        <v>1004</v>
      </c>
      <c r="D85" s="3">
        <v>976</v>
      </c>
      <c r="E85" s="3">
        <v>833</v>
      </c>
      <c r="F85" s="3">
        <v>773</v>
      </c>
      <c r="G85" s="3">
        <v>704</v>
      </c>
      <c r="H85" s="3">
        <v>573</v>
      </c>
      <c r="I85" s="3">
        <v>425</v>
      </c>
      <c r="J85" s="3">
        <v>308</v>
      </c>
      <c r="K85" s="3">
        <v>230</v>
      </c>
      <c r="L85" s="3">
        <v>218</v>
      </c>
      <c r="M85" s="3">
        <v>213</v>
      </c>
      <c r="N85" s="3">
        <v>201</v>
      </c>
      <c r="O85" s="3">
        <v>203</v>
      </c>
      <c r="P85" s="3">
        <v>202</v>
      </c>
      <c r="Q85" s="3">
        <v>191</v>
      </c>
      <c r="R85" s="3">
        <v>189</v>
      </c>
      <c r="S85" s="3">
        <v>173</v>
      </c>
      <c r="T85" s="3">
        <v>163</v>
      </c>
      <c r="U85" s="3">
        <v>147</v>
      </c>
      <c r="V85" s="3" t="s">
        <v>63</v>
      </c>
    </row>
    <row r="86" spans="1:22" x14ac:dyDescent="0.2">
      <c r="A86" s="3" t="s">
        <v>530</v>
      </c>
      <c r="B86" s="3" t="s">
        <v>12</v>
      </c>
      <c r="C86" s="3" t="s">
        <v>12</v>
      </c>
      <c r="D86" s="3" t="s">
        <v>12</v>
      </c>
      <c r="E86" s="3" t="s">
        <v>12</v>
      </c>
      <c r="F86" s="3" t="s">
        <v>12</v>
      </c>
      <c r="G86" s="3" t="s">
        <v>12</v>
      </c>
      <c r="H86" s="3" t="s">
        <v>12</v>
      </c>
      <c r="I86" s="3" t="s">
        <v>12</v>
      </c>
      <c r="J86" s="3" t="s">
        <v>12</v>
      </c>
      <c r="K86" s="3" t="s">
        <v>12</v>
      </c>
      <c r="L86" s="3" t="s">
        <v>12</v>
      </c>
      <c r="M86" s="3" t="s">
        <v>12</v>
      </c>
      <c r="N86" s="3" t="s">
        <v>12</v>
      </c>
      <c r="O86" s="3" t="s">
        <v>12</v>
      </c>
      <c r="P86" s="3" t="s">
        <v>12</v>
      </c>
      <c r="Q86" s="3">
        <v>38</v>
      </c>
      <c r="R86" s="3">
        <v>37</v>
      </c>
      <c r="S86" s="3">
        <v>34</v>
      </c>
      <c r="T86" s="3" t="s">
        <v>12</v>
      </c>
      <c r="U86" s="3">
        <v>40</v>
      </c>
      <c r="V86" s="3" t="s">
        <v>63</v>
      </c>
    </row>
    <row r="87" spans="1:22" x14ac:dyDescent="0.2">
      <c r="A87" s="3" t="s">
        <v>361</v>
      </c>
      <c r="B87" s="4">
        <v>1351</v>
      </c>
      <c r="C87" s="4">
        <v>1082</v>
      </c>
      <c r="D87" s="3">
        <v>886</v>
      </c>
      <c r="E87" s="3">
        <v>790</v>
      </c>
      <c r="F87" s="3">
        <v>697</v>
      </c>
      <c r="G87" s="3">
        <v>583</v>
      </c>
      <c r="H87" s="3">
        <v>462</v>
      </c>
      <c r="I87" s="3">
        <v>424</v>
      </c>
      <c r="J87" s="3">
        <v>373</v>
      </c>
      <c r="K87" s="3">
        <v>290</v>
      </c>
      <c r="L87" s="3">
        <v>247</v>
      </c>
      <c r="M87" s="3">
        <v>246</v>
      </c>
      <c r="N87" s="3">
        <v>252</v>
      </c>
      <c r="O87" s="3">
        <v>257</v>
      </c>
      <c r="P87" s="3">
        <v>245</v>
      </c>
      <c r="Q87" s="3">
        <v>225</v>
      </c>
      <c r="R87" s="3">
        <v>229</v>
      </c>
      <c r="S87" s="3">
        <v>234</v>
      </c>
      <c r="T87" s="3">
        <v>241</v>
      </c>
      <c r="U87" s="3">
        <v>258</v>
      </c>
      <c r="V87" s="3" t="s">
        <v>63</v>
      </c>
    </row>
    <row r="88" spans="1:22" x14ac:dyDescent="0.2">
      <c r="A88" s="3" t="s">
        <v>134</v>
      </c>
      <c r="B88" s="4">
        <v>3649</v>
      </c>
      <c r="C88" s="4">
        <v>2798</v>
      </c>
      <c r="D88" s="4">
        <v>2383</v>
      </c>
      <c r="E88" s="4">
        <v>2060</v>
      </c>
      <c r="F88" s="4">
        <v>1866</v>
      </c>
      <c r="G88" s="4">
        <v>1679</v>
      </c>
      <c r="H88" s="4">
        <v>1506</v>
      </c>
      <c r="I88" s="4">
        <v>1385</v>
      </c>
      <c r="J88" s="4">
        <v>1542</v>
      </c>
      <c r="K88" s="4">
        <v>1517</v>
      </c>
      <c r="L88" s="4">
        <v>1448</v>
      </c>
      <c r="M88" s="4">
        <v>1326</v>
      </c>
      <c r="N88" s="4">
        <v>1156</v>
      </c>
      <c r="O88" s="4">
        <v>1171</v>
      </c>
      <c r="P88" s="4">
        <v>1106</v>
      </c>
      <c r="Q88" s="4">
        <v>1081</v>
      </c>
      <c r="R88" s="3">
        <v>941</v>
      </c>
      <c r="S88" s="3">
        <v>973</v>
      </c>
      <c r="T88" s="3">
        <v>971</v>
      </c>
      <c r="U88" s="3">
        <v>866</v>
      </c>
      <c r="V88" s="3" t="s">
        <v>63</v>
      </c>
    </row>
    <row r="89" spans="1:22" x14ac:dyDescent="0.2">
      <c r="A89" s="3" t="s">
        <v>135</v>
      </c>
      <c r="B89" s="4">
        <v>40609</v>
      </c>
      <c r="C89" s="4">
        <v>41411</v>
      </c>
      <c r="D89" s="4">
        <v>32274</v>
      </c>
      <c r="E89" s="4">
        <v>30114</v>
      </c>
      <c r="F89" s="4">
        <v>27070</v>
      </c>
      <c r="G89" s="4">
        <v>27930</v>
      </c>
      <c r="H89" s="4">
        <v>22750</v>
      </c>
      <c r="I89" s="4">
        <v>20883</v>
      </c>
      <c r="J89" s="4">
        <v>22054</v>
      </c>
      <c r="K89" s="4">
        <v>19940</v>
      </c>
      <c r="L89" s="4">
        <v>19081</v>
      </c>
      <c r="M89" s="4">
        <v>19139</v>
      </c>
      <c r="N89" s="4">
        <v>19625</v>
      </c>
      <c r="O89" s="4">
        <v>18892</v>
      </c>
      <c r="P89" s="4">
        <v>17575</v>
      </c>
      <c r="Q89" s="4">
        <v>16834</v>
      </c>
      <c r="R89" s="4">
        <v>17503</v>
      </c>
      <c r="S89" s="4">
        <v>12022</v>
      </c>
      <c r="T89" s="4">
        <v>11898</v>
      </c>
      <c r="U89" s="4">
        <v>11547</v>
      </c>
      <c r="V89" s="3" t="s">
        <v>63</v>
      </c>
    </row>
    <row r="90" spans="1:22" x14ac:dyDescent="0.2">
      <c r="A90" s="3" t="s">
        <v>136</v>
      </c>
      <c r="B90" s="3">
        <v>24</v>
      </c>
      <c r="C90" s="3">
        <v>24</v>
      </c>
      <c r="D90" s="3">
        <v>24</v>
      </c>
      <c r="E90" s="3">
        <v>25</v>
      </c>
      <c r="F90" s="3">
        <v>25</v>
      </c>
      <c r="G90" s="3">
        <v>2</v>
      </c>
      <c r="H90" s="3">
        <v>25</v>
      </c>
      <c r="I90" s="3">
        <v>2</v>
      </c>
      <c r="J90" s="3">
        <v>2</v>
      </c>
      <c r="K90" s="3">
        <v>2</v>
      </c>
      <c r="L90" s="3">
        <v>2</v>
      </c>
      <c r="M90" s="3">
        <v>2</v>
      </c>
      <c r="N90" s="3">
        <v>2</v>
      </c>
      <c r="O90" s="3">
        <v>3</v>
      </c>
      <c r="P90" s="3">
        <v>3</v>
      </c>
      <c r="Q90" s="3">
        <v>3</v>
      </c>
      <c r="R90" s="3">
        <v>3</v>
      </c>
      <c r="S90" s="3">
        <v>1</v>
      </c>
      <c r="T90" s="3">
        <v>3</v>
      </c>
      <c r="U90" s="3">
        <v>1</v>
      </c>
      <c r="V90" s="3" t="s">
        <v>63</v>
      </c>
    </row>
    <row r="91" spans="1:22" x14ac:dyDescent="0.2">
      <c r="A91" s="3" t="s">
        <v>137</v>
      </c>
      <c r="B91" s="4">
        <v>11200</v>
      </c>
      <c r="C91" s="4">
        <v>11475</v>
      </c>
      <c r="D91" s="4">
        <v>11237</v>
      </c>
      <c r="E91" s="4">
        <v>11821</v>
      </c>
      <c r="F91" s="4">
        <v>12115</v>
      </c>
      <c r="G91" s="4">
        <v>12651</v>
      </c>
      <c r="H91" s="4">
        <v>13109</v>
      </c>
      <c r="I91" s="4">
        <v>12991</v>
      </c>
      <c r="J91" s="4">
        <v>12629</v>
      </c>
      <c r="K91" s="4">
        <v>12453</v>
      </c>
      <c r="L91" s="4">
        <v>11971</v>
      </c>
      <c r="M91" s="4">
        <v>11565</v>
      </c>
      <c r="N91" s="4">
        <v>10968</v>
      </c>
      <c r="O91" s="4">
        <v>10623</v>
      </c>
      <c r="P91" s="4">
        <v>10385</v>
      </c>
      <c r="Q91" s="4">
        <v>10465</v>
      </c>
      <c r="R91" s="4">
        <v>9745</v>
      </c>
      <c r="S91" s="4">
        <v>9280</v>
      </c>
      <c r="T91" s="4">
        <v>8719</v>
      </c>
      <c r="U91" s="4">
        <v>8301</v>
      </c>
      <c r="V91" s="3" t="s">
        <v>63</v>
      </c>
    </row>
    <row r="92" spans="1:22" x14ac:dyDescent="0.2">
      <c r="A92" s="3" t="s">
        <v>13</v>
      </c>
      <c r="B92" s="4">
        <v>88737</v>
      </c>
      <c r="C92" s="4">
        <v>72158</v>
      </c>
      <c r="D92" s="4">
        <v>68038</v>
      </c>
      <c r="E92" s="4">
        <v>53950</v>
      </c>
      <c r="F92" s="4">
        <v>45961</v>
      </c>
      <c r="G92" s="4">
        <v>36598</v>
      </c>
      <c r="H92" s="4">
        <v>29817</v>
      </c>
      <c r="I92" s="4">
        <v>20360</v>
      </c>
      <c r="J92" s="4">
        <v>14921</v>
      </c>
      <c r="K92" s="4">
        <v>12115</v>
      </c>
      <c r="L92" s="4">
        <v>10171</v>
      </c>
      <c r="M92" s="4">
        <v>9905</v>
      </c>
      <c r="N92" s="4">
        <v>12971</v>
      </c>
      <c r="O92" s="4">
        <v>15758</v>
      </c>
      <c r="P92" s="4">
        <v>16235</v>
      </c>
      <c r="Q92" s="4">
        <v>25359</v>
      </c>
      <c r="R92" s="4">
        <v>22995</v>
      </c>
      <c r="S92" s="4">
        <v>20721</v>
      </c>
      <c r="T92" s="4">
        <v>18908</v>
      </c>
      <c r="U92" s="4">
        <v>17550</v>
      </c>
      <c r="V92" s="3" t="s">
        <v>63</v>
      </c>
    </row>
    <row r="93" spans="1:22" x14ac:dyDescent="0.2">
      <c r="A93" s="3" t="s">
        <v>531</v>
      </c>
      <c r="B93" s="3" t="s">
        <v>12</v>
      </c>
      <c r="C93" s="3" t="s">
        <v>12</v>
      </c>
      <c r="D93" s="3" t="s">
        <v>12</v>
      </c>
      <c r="E93" s="3" t="s">
        <v>12</v>
      </c>
      <c r="F93" s="3" t="s">
        <v>12</v>
      </c>
      <c r="G93" s="3" t="s">
        <v>12</v>
      </c>
      <c r="H93" s="3" t="s">
        <v>12</v>
      </c>
      <c r="I93" s="3" t="s">
        <v>12</v>
      </c>
      <c r="J93" s="3" t="s">
        <v>12</v>
      </c>
      <c r="K93" s="3" t="s">
        <v>12</v>
      </c>
      <c r="L93" s="3" t="s">
        <v>12</v>
      </c>
      <c r="M93" s="3" t="s">
        <v>12</v>
      </c>
      <c r="N93" s="3" t="s">
        <v>12</v>
      </c>
      <c r="O93" s="3" t="s">
        <v>12</v>
      </c>
      <c r="P93" s="3" t="s">
        <v>12</v>
      </c>
      <c r="Q93" s="4">
        <v>-12038</v>
      </c>
      <c r="R93" s="4">
        <v>-11604</v>
      </c>
      <c r="S93" s="4">
        <v>-11242</v>
      </c>
      <c r="T93" s="4">
        <v>-10756</v>
      </c>
      <c r="U93" s="4">
        <v>-10530</v>
      </c>
      <c r="V93" s="3" t="s">
        <v>63</v>
      </c>
    </row>
    <row r="94" spans="1:22" x14ac:dyDescent="0.2">
      <c r="A94" s="3" t="s">
        <v>138</v>
      </c>
      <c r="B94" s="3">
        <v>170</v>
      </c>
      <c r="C94" s="3">
        <v>186</v>
      </c>
      <c r="D94" s="3">
        <v>28</v>
      </c>
      <c r="E94" s="3">
        <v>103</v>
      </c>
      <c r="F94" s="3">
        <v>56</v>
      </c>
      <c r="G94" s="3">
        <v>-109</v>
      </c>
      <c r="H94" s="3">
        <v>27</v>
      </c>
      <c r="I94" s="3">
        <v>-88</v>
      </c>
      <c r="J94" s="3">
        <v>-51</v>
      </c>
      <c r="K94" s="3">
        <v>-50</v>
      </c>
      <c r="L94" s="3">
        <v>-43</v>
      </c>
      <c r="M94" s="3">
        <v>-123</v>
      </c>
      <c r="N94" s="3">
        <v>-90</v>
      </c>
      <c r="O94" s="3">
        <v>-64</v>
      </c>
      <c r="P94" s="3">
        <v>-11</v>
      </c>
      <c r="Q94" s="3">
        <v>9</v>
      </c>
      <c r="R94" s="3">
        <v>8</v>
      </c>
      <c r="S94" s="3">
        <v>14</v>
      </c>
      <c r="T94" s="3">
        <v>19</v>
      </c>
      <c r="U94" s="3">
        <v>12</v>
      </c>
      <c r="V94" s="3" t="s">
        <v>63</v>
      </c>
    </row>
    <row r="95" spans="1:22" x14ac:dyDescent="0.2">
      <c r="A95" s="3" t="s">
        <v>14</v>
      </c>
      <c r="B95" s="4">
        <v>100131</v>
      </c>
      <c r="C95" s="4">
        <v>83843</v>
      </c>
      <c r="D95" s="4">
        <v>79327</v>
      </c>
      <c r="E95" s="4">
        <v>65899</v>
      </c>
      <c r="F95" s="4">
        <v>58157</v>
      </c>
      <c r="G95" s="4">
        <v>49142</v>
      </c>
      <c r="H95" s="4">
        <v>42978</v>
      </c>
      <c r="I95" s="4">
        <v>33265</v>
      </c>
      <c r="J95" s="4">
        <v>27501</v>
      </c>
      <c r="K95" s="4">
        <v>24520</v>
      </c>
      <c r="L95" s="4">
        <v>22101</v>
      </c>
      <c r="M95" s="4">
        <v>21349</v>
      </c>
      <c r="N95" s="4">
        <v>23851</v>
      </c>
      <c r="O95" s="4">
        <v>26320</v>
      </c>
      <c r="P95" s="4">
        <v>26612</v>
      </c>
      <c r="Q95" s="4">
        <v>23798</v>
      </c>
      <c r="R95" s="4">
        <v>21147</v>
      </c>
      <c r="S95" s="4">
        <v>18774</v>
      </c>
      <c r="T95" s="4">
        <v>16893</v>
      </c>
      <c r="U95" s="4">
        <v>15334</v>
      </c>
      <c r="V95" s="3" t="s">
        <v>63</v>
      </c>
    </row>
    <row r="96" spans="1:22" x14ac:dyDescent="0.2">
      <c r="A96" s="3" t="s">
        <v>139</v>
      </c>
      <c r="B96" s="4">
        <v>140740</v>
      </c>
      <c r="C96" s="4">
        <v>125254</v>
      </c>
      <c r="D96" s="4">
        <v>111601</v>
      </c>
      <c r="E96" s="4">
        <v>96013</v>
      </c>
      <c r="F96" s="4">
        <v>85227</v>
      </c>
      <c r="G96" s="4">
        <v>77072</v>
      </c>
      <c r="H96" s="4">
        <v>65728</v>
      </c>
      <c r="I96" s="4">
        <v>54148</v>
      </c>
      <c r="J96" s="4">
        <v>49555</v>
      </c>
      <c r="K96" s="4">
        <v>44460</v>
      </c>
      <c r="L96" s="4">
        <v>41182</v>
      </c>
      <c r="M96" s="4">
        <v>40488</v>
      </c>
      <c r="N96" s="4">
        <v>43476</v>
      </c>
      <c r="O96" s="4">
        <v>45212</v>
      </c>
      <c r="P96" s="4">
        <v>44187</v>
      </c>
      <c r="Q96" s="4">
        <v>40632</v>
      </c>
      <c r="R96" s="4">
        <v>38650</v>
      </c>
      <c r="S96" s="4">
        <v>30796</v>
      </c>
      <c r="T96" s="4">
        <v>28791</v>
      </c>
      <c r="U96" s="4">
        <v>26881</v>
      </c>
      <c r="V96" s="3" t="s">
        <v>63</v>
      </c>
    </row>
    <row r="97" spans="1:22" x14ac:dyDescent="0.2">
      <c r="A97" s="3" t="s">
        <v>7</v>
      </c>
      <c r="B97" s="4">
        <v>10598</v>
      </c>
      <c r="C97" s="4">
        <v>10285</v>
      </c>
      <c r="D97" s="4">
        <v>10270</v>
      </c>
      <c r="E97" s="4">
        <v>10225</v>
      </c>
      <c r="F97" s="4">
        <v>10015</v>
      </c>
      <c r="G97" s="4">
        <v>11237</v>
      </c>
      <c r="H97" s="4">
        <v>11056</v>
      </c>
      <c r="I97" s="4">
        <v>11027</v>
      </c>
      <c r="J97" s="4">
        <v>10954</v>
      </c>
      <c r="K97" s="4">
        <v>12080</v>
      </c>
      <c r="L97" s="4">
        <v>12031</v>
      </c>
      <c r="M97" s="4">
        <v>11904</v>
      </c>
      <c r="N97" s="4">
        <v>11837</v>
      </c>
      <c r="O97" s="4">
        <v>11846</v>
      </c>
      <c r="P97" s="4">
        <v>11831</v>
      </c>
      <c r="Q97" s="4">
        <v>11827</v>
      </c>
      <c r="R97" s="4">
        <v>12791</v>
      </c>
      <c r="S97" s="4">
        <v>7738</v>
      </c>
      <c r="T97" s="4">
        <v>7597</v>
      </c>
      <c r="U97" s="4">
        <v>7681</v>
      </c>
      <c r="V97" s="3" t="s">
        <v>63</v>
      </c>
    </row>
    <row r="98" spans="1:22" x14ac:dyDescent="0.2">
      <c r="A98" s="3" t="s">
        <v>15</v>
      </c>
      <c r="B98" s="4">
        <v>46193</v>
      </c>
      <c r="C98" s="4">
        <v>43406</v>
      </c>
      <c r="D98" s="4">
        <v>32940</v>
      </c>
      <c r="E98" s="4">
        <v>28262</v>
      </c>
      <c r="F98" s="4">
        <v>24785</v>
      </c>
      <c r="G98" s="4">
        <v>20201</v>
      </c>
      <c r="H98" s="4">
        <v>14928</v>
      </c>
      <c r="I98" s="4">
        <v>7254</v>
      </c>
      <c r="J98" s="4">
        <v>5069</v>
      </c>
      <c r="K98" s="4">
        <v>3240</v>
      </c>
      <c r="L98" s="4">
        <v>1265</v>
      </c>
      <c r="M98" s="4">
        <v>1239</v>
      </c>
      <c r="N98" s="4">
        <v>5200</v>
      </c>
      <c r="O98" s="4">
        <v>8492</v>
      </c>
      <c r="P98" s="4">
        <v>9377</v>
      </c>
      <c r="Q98" s="4">
        <v>7471</v>
      </c>
      <c r="R98" s="4">
        <v>6863</v>
      </c>
      <c r="S98" s="4">
        <v>4929</v>
      </c>
      <c r="T98" s="4">
        <v>3964</v>
      </c>
      <c r="U98" s="4">
        <v>2458</v>
      </c>
      <c r="V98" s="3" t="s">
        <v>63</v>
      </c>
    </row>
    <row r="99" spans="1:22" x14ac:dyDescent="0.2">
      <c r="A99" s="3" t="s">
        <v>558</v>
      </c>
      <c r="B99" s="5">
        <v>0.86380000000000001</v>
      </c>
      <c r="C99" s="5">
        <v>1.1487000000000001</v>
      </c>
      <c r="D99" s="5">
        <v>1.2065999999999999</v>
      </c>
      <c r="E99" s="5">
        <v>2.8961000000000001</v>
      </c>
      <c r="F99" s="5">
        <v>3.8895</v>
      </c>
      <c r="G99" s="5">
        <v>5.2348999999999997</v>
      </c>
      <c r="H99" s="5">
        <v>10.800800000000001</v>
      </c>
      <c r="I99" s="5">
        <v>4.8547000000000002</v>
      </c>
      <c r="J99" s="5">
        <v>-2.52E-2</v>
      </c>
      <c r="K99" s="5">
        <v>-0.61850000000000005</v>
      </c>
      <c r="L99" s="5">
        <v>-0.86509999999999998</v>
      </c>
      <c r="M99" s="5">
        <v>-0.83420000000000005</v>
      </c>
      <c r="N99" s="5">
        <v>-0.24229999999999999</v>
      </c>
      <c r="O99" s="5">
        <v>0.72289999999999999</v>
      </c>
      <c r="P99" s="5">
        <v>1.3654999999999999</v>
      </c>
      <c r="Q99" s="5">
        <v>2.0394999999999999</v>
      </c>
      <c r="R99" s="5">
        <v>1.0886</v>
      </c>
      <c r="S99" s="5">
        <v>-0.43840000000000001</v>
      </c>
      <c r="T99" s="5">
        <v>-0.51980000000000004</v>
      </c>
      <c r="U99" s="5">
        <v>-0.65959999999999996</v>
      </c>
      <c r="V99" s="3" t="s">
        <v>63</v>
      </c>
    </row>
    <row r="100" spans="1:22" x14ac:dyDescent="0.2">
      <c r="A100" s="3" t="s">
        <v>140</v>
      </c>
      <c r="B100" s="3">
        <v>1.87</v>
      </c>
      <c r="C100" s="3">
        <v>1.75</v>
      </c>
      <c r="D100" s="3">
        <v>1.33</v>
      </c>
      <c r="E100" s="3">
        <v>1.1399999999999999</v>
      </c>
      <c r="F100" s="3">
        <v>1</v>
      </c>
      <c r="G100" s="3">
        <v>0.81</v>
      </c>
      <c r="H100" s="3">
        <v>0.6</v>
      </c>
      <c r="I100" s="3">
        <v>0.28999999999999998</v>
      </c>
      <c r="J100" s="3">
        <v>0.2</v>
      </c>
      <c r="K100" s="3">
        <v>0.13</v>
      </c>
      <c r="L100" s="3">
        <v>0.05</v>
      </c>
      <c r="M100" s="3">
        <v>0.05</v>
      </c>
      <c r="N100" s="3">
        <v>0.21</v>
      </c>
      <c r="O100" s="3">
        <v>0.33</v>
      </c>
      <c r="P100" s="3">
        <v>0.37</v>
      </c>
      <c r="Q100" s="3">
        <v>0.3</v>
      </c>
      <c r="R100" s="3">
        <v>0.27</v>
      </c>
      <c r="S100" s="3">
        <v>0.2</v>
      </c>
      <c r="T100" s="3">
        <v>0.16</v>
      </c>
      <c r="U100" s="3">
        <v>0.1</v>
      </c>
      <c r="V100" s="3" t="s">
        <v>63</v>
      </c>
    </row>
    <row r="101" spans="1:22" x14ac:dyDescent="0.2">
      <c r="A101" s="3" t="s">
        <v>141</v>
      </c>
      <c r="B101" s="4">
        <v>24300</v>
      </c>
      <c r="C101" s="4">
        <v>24400</v>
      </c>
      <c r="D101" s="4">
        <v>24400</v>
      </c>
      <c r="E101" s="4">
        <v>24490</v>
      </c>
      <c r="F101" s="4">
        <v>24530</v>
      </c>
      <c r="G101" s="4">
        <v>24600</v>
      </c>
      <c r="H101" s="4">
        <v>25000</v>
      </c>
      <c r="I101" s="4">
        <v>24700</v>
      </c>
      <c r="J101" s="4">
        <v>24700</v>
      </c>
      <c r="K101" s="4">
        <v>24700</v>
      </c>
      <c r="L101" s="4">
        <v>24700</v>
      </c>
      <c r="M101" s="4">
        <v>24600</v>
      </c>
      <c r="N101" s="4">
        <v>24900</v>
      </c>
      <c r="O101" s="4">
        <v>25000</v>
      </c>
      <c r="P101" s="4">
        <v>25060</v>
      </c>
      <c r="Q101" s="4">
        <v>25000</v>
      </c>
      <c r="R101" s="4">
        <v>25000</v>
      </c>
      <c r="S101" s="4">
        <v>24920</v>
      </c>
      <c r="T101" s="4">
        <v>24800</v>
      </c>
      <c r="U101" s="4">
        <v>24760</v>
      </c>
      <c r="V101" s="3" t="s">
        <v>63</v>
      </c>
    </row>
    <row r="102" spans="1:22" x14ac:dyDescent="0.2">
      <c r="A102" s="3" t="s">
        <v>142</v>
      </c>
      <c r="B102" s="4">
        <v>24347</v>
      </c>
      <c r="C102" s="4">
        <v>24388</v>
      </c>
      <c r="D102" s="4">
        <v>24477</v>
      </c>
      <c r="E102" s="4">
        <v>24508</v>
      </c>
      <c r="F102" s="4">
        <v>24562</v>
      </c>
      <c r="G102" s="4">
        <v>24590</v>
      </c>
      <c r="H102" s="4">
        <v>24640</v>
      </c>
      <c r="I102" s="4">
        <v>24660</v>
      </c>
      <c r="J102" s="4">
        <v>24690</v>
      </c>
      <c r="K102" s="4">
        <v>24730</v>
      </c>
      <c r="L102" s="4">
        <v>24660</v>
      </c>
      <c r="M102" s="4">
        <v>24680</v>
      </c>
      <c r="N102" s="4">
        <v>24890</v>
      </c>
      <c r="O102" s="4">
        <v>25040</v>
      </c>
      <c r="P102" s="4">
        <v>25060</v>
      </c>
      <c r="Q102" s="4">
        <v>25020</v>
      </c>
      <c r="R102" s="4">
        <v>24960</v>
      </c>
      <c r="S102" s="4">
        <v>24920</v>
      </c>
      <c r="T102" s="4">
        <v>24800</v>
      </c>
      <c r="U102" s="4">
        <v>24760</v>
      </c>
      <c r="V102" s="3" t="s">
        <v>63</v>
      </c>
    </row>
    <row r="103" spans="1:22" x14ac:dyDescent="0.2">
      <c r="A103" s="3" t="s">
        <v>143</v>
      </c>
      <c r="B103" s="4">
        <v>77962</v>
      </c>
      <c r="C103" s="4">
        <v>63393</v>
      </c>
      <c r="D103" s="4">
        <v>62079</v>
      </c>
      <c r="E103" s="4">
        <v>51161</v>
      </c>
      <c r="F103" s="4">
        <v>45664</v>
      </c>
      <c r="G103" s="4">
        <v>38506</v>
      </c>
      <c r="H103" s="4">
        <v>33714</v>
      </c>
      <c r="I103" s="4">
        <v>23557</v>
      </c>
      <c r="J103" s="4">
        <v>18463</v>
      </c>
      <c r="K103" s="4">
        <v>17623</v>
      </c>
      <c r="L103" s="4">
        <v>16510</v>
      </c>
      <c r="M103" s="4">
        <v>16368</v>
      </c>
      <c r="N103" s="4">
        <v>19845</v>
      </c>
      <c r="O103" s="4">
        <v>24013</v>
      </c>
      <c r="P103" s="4">
        <v>24494</v>
      </c>
      <c r="Q103" s="4">
        <v>22194</v>
      </c>
      <c r="R103" s="4">
        <v>21358</v>
      </c>
      <c r="S103" s="4">
        <v>14123</v>
      </c>
      <c r="T103" s="4">
        <v>12130</v>
      </c>
      <c r="U103" s="4">
        <v>10724</v>
      </c>
      <c r="V103" s="3" t="s">
        <v>63</v>
      </c>
    </row>
    <row r="104" spans="1:22" x14ac:dyDescent="0.2">
      <c r="A104" s="3" t="s">
        <v>16</v>
      </c>
      <c r="B104" s="3">
        <v>4.1100000000000003</v>
      </c>
      <c r="C104" s="3">
        <v>3.44</v>
      </c>
      <c r="D104" s="3">
        <v>3.24</v>
      </c>
      <c r="E104" s="3">
        <v>2.69</v>
      </c>
      <c r="F104" s="3">
        <v>2.37</v>
      </c>
      <c r="G104" s="3">
        <v>2</v>
      </c>
      <c r="H104" s="3">
        <v>1.74</v>
      </c>
      <c r="I104" s="3">
        <v>1.35</v>
      </c>
      <c r="J104" s="3">
        <v>1.1100000000000001</v>
      </c>
      <c r="K104" s="3">
        <v>0.99</v>
      </c>
      <c r="L104" s="3">
        <v>0.9</v>
      </c>
      <c r="M104" s="3">
        <v>0.87</v>
      </c>
      <c r="N104" s="3">
        <v>0.96</v>
      </c>
      <c r="O104" s="3">
        <v>1.05</v>
      </c>
      <c r="P104" s="3">
        <v>1.06</v>
      </c>
      <c r="Q104" s="3">
        <v>0.95</v>
      </c>
      <c r="R104" s="3">
        <v>0.85</v>
      </c>
      <c r="S104" s="3">
        <v>0.75</v>
      </c>
      <c r="T104" s="3">
        <v>0.68</v>
      </c>
      <c r="U104" s="3">
        <v>0.62</v>
      </c>
      <c r="V104" s="3" t="s">
        <v>63</v>
      </c>
    </row>
    <row r="105" spans="1:22" x14ac:dyDescent="0.2">
      <c r="A105" s="3" t="s">
        <v>144</v>
      </c>
      <c r="B105" s="4">
        <v>93621</v>
      </c>
      <c r="C105" s="4">
        <v>77576</v>
      </c>
      <c r="D105" s="4">
        <v>73332</v>
      </c>
      <c r="E105" s="4">
        <v>60337</v>
      </c>
      <c r="F105" s="4">
        <v>52583</v>
      </c>
      <c r="G105" s="4">
        <v>43703</v>
      </c>
      <c r="H105" s="4">
        <v>37436</v>
      </c>
      <c r="I105" s="4">
        <v>27584</v>
      </c>
      <c r="J105" s="4">
        <v>21676</v>
      </c>
      <c r="K105" s="4">
        <v>18549</v>
      </c>
      <c r="L105" s="4">
        <v>16053</v>
      </c>
      <c r="M105" s="4">
        <v>15127</v>
      </c>
      <c r="N105" s="4">
        <v>17443</v>
      </c>
      <c r="O105" s="4">
        <v>19744</v>
      </c>
      <c r="P105" s="4">
        <v>19924</v>
      </c>
      <c r="Q105" s="4">
        <v>17042</v>
      </c>
      <c r="R105" s="4">
        <v>14476</v>
      </c>
      <c r="S105" s="4">
        <v>11968</v>
      </c>
      <c r="T105" s="4">
        <v>9963</v>
      </c>
      <c r="U105" s="4">
        <v>8280</v>
      </c>
      <c r="V105" s="3" t="s">
        <v>63</v>
      </c>
    </row>
    <row r="106" spans="1:22" x14ac:dyDescent="0.2">
      <c r="A106" s="3" t="s">
        <v>145</v>
      </c>
      <c r="B106" s="3">
        <v>3.85</v>
      </c>
      <c r="C106" s="3">
        <v>3.18</v>
      </c>
      <c r="D106" s="3">
        <v>3</v>
      </c>
      <c r="E106" s="3">
        <v>2.46</v>
      </c>
      <c r="F106" s="3">
        <v>2.14</v>
      </c>
      <c r="G106" s="3">
        <v>1.78</v>
      </c>
      <c r="H106" s="3">
        <v>1.52</v>
      </c>
      <c r="I106" s="3">
        <v>1.1200000000000001</v>
      </c>
      <c r="J106" s="3">
        <v>0.88</v>
      </c>
      <c r="K106" s="3">
        <v>0.75</v>
      </c>
      <c r="L106" s="3">
        <v>0.65</v>
      </c>
      <c r="M106" s="3">
        <v>0.61</v>
      </c>
      <c r="N106" s="3">
        <v>0.7</v>
      </c>
      <c r="O106" s="3">
        <v>0.79</v>
      </c>
      <c r="P106" s="3">
        <v>0.8</v>
      </c>
      <c r="Q106" s="3">
        <v>0.68</v>
      </c>
      <c r="R106" s="3">
        <v>0.57999999999999996</v>
      </c>
      <c r="S106" s="3">
        <v>0.48</v>
      </c>
      <c r="T106" s="3">
        <v>0.4</v>
      </c>
      <c r="U106" s="3">
        <v>0.33</v>
      </c>
      <c r="V106" s="3" t="s">
        <v>63</v>
      </c>
    </row>
    <row r="107" spans="1:22" x14ac:dyDescent="0.2">
      <c r="A107" s="3" t="s">
        <v>443</v>
      </c>
      <c r="B107" s="3" t="s">
        <v>12</v>
      </c>
      <c r="C107" s="3" t="s">
        <v>12</v>
      </c>
      <c r="D107" s="3">
        <v>511</v>
      </c>
      <c r="E107" s="3" t="s">
        <v>12</v>
      </c>
      <c r="F107" s="3" t="s">
        <v>12</v>
      </c>
      <c r="G107" s="3" t="s">
        <v>12</v>
      </c>
      <c r="H107" s="3">
        <v>218</v>
      </c>
      <c r="I107" s="3" t="s">
        <v>12</v>
      </c>
      <c r="J107" s="3" t="s">
        <v>12</v>
      </c>
      <c r="K107" s="3" t="s">
        <v>12</v>
      </c>
      <c r="L107" s="3">
        <v>218</v>
      </c>
      <c r="M107" s="3" t="s">
        <v>12</v>
      </c>
      <c r="N107" s="3" t="s">
        <v>12</v>
      </c>
      <c r="O107" s="3" t="s">
        <v>12</v>
      </c>
      <c r="P107" s="3">
        <v>218</v>
      </c>
      <c r="Q107" s="3" t="s">
        <v>12</v>
      </c>
      <c r="R107" s="3" t="s">
        <v>12</v>
      </c>
      <c r="S107" s="3" t="s">
        <v>12</v>
      </c>
      <c r="T107" s="3">
        <v>218</v>
      </c>
      <c r="U107" s="3" t="s">
        <v>12</v>
      </c>
      <c r="V107" s="3" t="s">
        <v>63</v>
      </c>
    </row>
    <row r="108" spans="1:22" x14ac:dyDescent="0.2">
      <c r="A108" s="3" t="s">
        <v>448</v>
      </c>
      <c r="B108" s="3" t="s">
        <v>12</v>
      </c>
      <c r="C108" s="3" t="s">
        <v>12</v>
      </c>
      <c r="D108" s="4">
        <v>2076</v>
      </c>
      <c r="E108" s="3" t="s">
        <v>12</v>
      </c>
      <c r="F108" s="3" t="s">
        <v>12</v>
      </c>
      <c r="G108" s="3" t="s">
        <v>12</v>
      </c>
      <c r="H108" s="4">
        <v>1816</v>
      </c>
      <c r="I108" s="3" t="s">
        <v>12</v>
      </c>
      <c r="J108" s="3" t="s">
        <v>12</v>
      </c>
      <c r="K108" s="3" t="s">
        <v>12</v>
      </c>
      <c r="L108" s="4">
        <v>1598</v>
      </c>
      <c r="M108" s="3" t="s">
        <v>12</v>
      </c>
      <c r="N108" s="3" t="s">
        <v>12</v>
      </c>
      <c r="O108" s="3" t="s">
        <v>12</v>
      </c>
      <c r="P108" s="3">
        <v>874</v>
      </c>
      <c r="Q108" s="3" t="s">
        <v>12</v>
      </c>
      <c r="R108" s="3" t="s">
        <v>12</v>
      </c>
      <c r="S108" s="3" t="s">
        <v>12</v>
      </c>
      <c r="T108" s="3">
        <v>796</v>
      </c>
      <c r="U108" s="3" t="s">
        <v>12</v>
      </c>
      <c r="V108" s="3" t="s">
        <v>63</v>
      </c>
    </row>
    <row r="109" spans="1:22" x14ac:dyDescent="0.2">
      <c r="A109" s="3" t="s">
        <v>146</v>
      </c>
      <c r="B109" s="3" t="s">
        <v>12</v>
      </c>
      <c r="C109" s="3" t="s">
        <v>12</v>
      </c>
      <c r="D109" s="4">
        <v>7568</v>
      </c>
      <c r="E109" s="3" t="s">
        <v>12</v>
      </c>
      <c r="F109" s="3" t="s">
        <v>12</v>
      </c>
      <c r="G109" s="3" t="s">
        <v>12</v>
      </c>
      <c r="H109" s="4">
        <v>5200</v>
      </c>
      <c r="I109" s="3" t="s">
        <v>12</v>
      </c>
      <c r="J109" s="3" t="s">
        <v>12</v>
      </c>
      <c r="K109" s="3" t="s">
        <v>12</v>
      </c>
      <c r="L109" s="4">
        <v>4303</v>
      </c>
      <c r="M109" s="3" t="s">
        <v>12</v>
      </c>
      <c r="N109" s="3" t="s">
        <v>12</v>
      </c>
      <c r="O109" s="3" t="s">
        <v>12</v>
      </c>
      <c r="P109" s="4">
        <v>2852</v>
      </c>
      <c r="Q109" s="3" t="s">
        <v>12</v>
      </c>
      <c r="R109" s="3" t="s">
        <v>12</v>
      </c>
      <c r="S109" s="3" t="s">
        <v>12</v>
      </c>
      <c r="T109" s="4">
        <v>1985</v>
      </c>
      <c r="U109" s="3" t="s">
        <v>12</v>
      </c>
      <c r="V109" s="3" t="s">
        <v>63</v>
      </c>
    </row>
    <row r="110" spans="1:22" x14ac:dyDescent="0.2">
      <c r="A110" s="3" t="s">
        <v>444</v>
      </c>
      <c r="B110" s="3" t="s">
        <v>12</v>
      </c>
      <c r="C110" s="3" t="s">
        <v>12</v>
      </c>
      <c r="D110" s="3">
        <v>529</v>
      </c>
      <c r="E110" s="3" t="s">
        <v>12</v>
      </c>
      <c r="F110" s="3" t="s">
        <v>12</v>
      </c>
      <c r="G110" s="3" t="s">
        <v>12</v>
      </c>
      <c r="H110" s="3">
        <v>189</v>
      </c>
      <c r="I110" s="3" t="s">
        <v>12</v>
      </c>
      <c r="J110" s="3" t="s">
        <v>12</v>
      </c>
      <c r="K110" s="3" t="s">
        <v>12</v>
      </c>
      <c r="L110" s="3">
        <v>382</v>
      </c>
      <c r="M110" s="3" t="s">
        <v>12</v>
      </c>
      <c r="N110" s="3" t="s">
        <v>12</v>
      </c>
      <c r="O110" s="3" t="s">
        <v>12</v>
      </c>
      <c r="P110" s="3">
        <v>737</v>
      </c>
      <c r="Q110" s="3" t="s">
        <v>12</v>
      </c>
      <c r="R110" s="3" t="s">
        <v>12</v>
      </c>
      <c r="S110" s="3" t="s">
        <v>12</v>
      </c>
      <c r="T110" s="3">
        <v>558</v>
      </c>
      <c r="U110" s="3" t="s">
        <v>12</v>
      </c>
      <c r="V110" s="3" t="s">
        <v>63</v>
      </c>
    </row>
    <row r="116" spans="1:22" x14ac:dyDescent="0.2">
      <c r="A116" s="1" t="s">
        <v>97</v>
      </c>
      <c r="B116" s="1" t="s">
        <v>535</v>
      </c>
      <c r="C116" s="1" t="s">
        <v>532</v>
      </c>
      <c r="D116" s="1" t="s">
        <v>533</v>
      </c>
      <c r="E116" s="1" t="s">
        <v>529</v>
      </c>
      <c r="F116" s="1" t="s">
        <v>446</v>
      </c>
      <c r="G116" s="1" t="s">
        <v>396</v>
      </c>
      <c r="H116" s="1" t="s">
        <v>98</v>
      </c>
      <c r="I116" s="1" t="s">
        <v>99</v>
      </c>
      <c r="J116" s="1" t="s">
        <v>177</v>
      </c>
      <c r="K116" s="1" t="s">
        <v>178</v>
      </c>
      <c r="L116" s="1" t="s">
        <v>100</v>
      </c>
      <c r="M116" s="1" t="s">
        <v>179</v>
      </c>
      <c r="N116" s="1" t="s">
        <v>180</v>
      </c>
      <c r="O116" s="1" t="s">
        <v>181</v>
      </c>
      <c r="P116" s="1" t="s">
        <v>101</v>
      </c>
      <c r="Q116" s="1" t="s">
        <v>182</v>
      </c>
      <c r="R116" s="1" t="s">
        <v>183</v>
      </c>
      <c r="S116" s="1" t="s">
        <v>184</v>
      </c>
      <c r="T116" s="1" t="s">
        <v>102</v>
      </c>
      <c r="U116" s="1" t="s">
        <v>185</v>
      </c>
      <c r="V116" s="1" t="s">
        <v>439</v>
      </c>
    </row>
    <row r="117" spans="1:22" ht="30" x14ac:dyDescent="0.2">
      <c r="A117" s="1" t="s">
        <v>10</v>
      </c>
      <c r="B117" s="1" t="s">
        <v>536</v>
      </c>
      <c r="C117" s="1" t="s">
        <v>537</v>
      </c>
      <c r="D117" s="1" t="s">
        <v>538</v>
      </c>
      <c r="E117" s="1" t="s">
        <v>539</v>
      </c>
      <c r="F117" s="1" t="s">
        <v>540</v>
      </c>
      <c r="G117" s="1" t="s">
        <v>541</v>
      </c>
      <c r="H117" s="1" t="s">
        <v>542</v>
      </c>
      <c r="I117" s="1" t="s">
        <v>543</v>
      </c>
      <c r="J117" s="1" t="s">
        <v>544</v>
      </c>
      <c r="K117" s="1" t="s">
        <v>545</v>
      </c>
      <c r="L117" s="1" t="s">
        <v>546</v>
      </c>
      <c r="M117" s="1" t="s">
        <v>547</v>
      </c>
      <c r="N117" s="1" t="s">
        <v>548</v>
      </c>
      <c r="O117" s="1" t="s">
        <v>549</v>
      </c>
      <c r="P117" s="1" t="s">
        <v>550</v>
      </c>
      <c r="Q117" s="1" t="s">
        <v>551</v>
      </c>
      <c r="R117" s="1" t="s">
        <v>552</v>
      </c>
      <c r="S117" s="1" t="s">
        <v>553</v>
      </c>
      <c r="T117" s="1" t="s">
        <v>554</v>
      </c>
      <c r="U117" s="1" t="s">
        <v>555</v>
      </c>
      <c r="V117" s="1" t="s">
        <v>439</v>
      </c>
    </row>
    <row r="118" spans="1:22" x14ac:dyDescent="0.2">
      <c r="A118" s="3" t="s">
        <v>17</v>
      </c>
      <c r="B118" s="4">
        <v>86597</v>
      </c>
      <c r="C118" s="4">
        <v>76774</v>
      </c>
      <c r="D118" s="4">
        <v>72880</v>
      </c>
      <c r="E118" s="4">
        <v>63074</v>
      </c>
      <c r="F118" s="4">
        <v>53008</v>
      </c>
      <c r="G118" s="4">
        <v>42598</v>
      </c>
      <c r="H118" s="4">
        <v>29760</v>
      </c>
      <c r="I118" s="4">
        <v>18889</v>
      </c>
      <c r="J118" s="4">
        <v>10326</v>
      </c>
      <c r="K118" s="4">
        <v>4793</v>
      </c>
      <c r="L118" s="4">
        <v>4368</v>
      </c>
      <c r="M118" s="4">
        <v>5957</v>
      </c>
      <c r="N118" s="4">
        <v>7741</v>
      </c>
      <c r="O118" s="4">
        <v>9458</v>
      </c>
      <c r="P118" s="4">
        <v>9752</v>
      </c>
      <c r="Q118" s="4">
        <v>8206</v>
      </c>
      <c r="R118" s="4">
        <v>7078</v>
      </c>
      <c r="S118" s="4">
        <v>5327</v>
      </c>
      <c r="T118" s="4">
        <v>4332</v>
      </c>
      <c r="U118" s="4">
        <v>3826</v>
      </c>
      <c r="V118" s="3" t="s">
        <v>63</v>
      </c>
    </row>
    <row r="119" spans="1:22" x14ac:dyDescent="0.2">
      <c r="A119" s="3" t="s">
        <v>147</v>
      </c>
      <c r="B119" s="4">
        <v>2301</v>
      </c>
      <c r="C119" s="4">
        <v>2065</v>
      </c>
      <c r="D119" s="4">
        <v>1864</v>
      </c>
      <c r="E119" s="4">
        <v>1708</v>
      </c>
      <c r="F119" s="4">
        <v>1602</v>
      </c>
      <c r="G119" s="4">
        <v>1534</v>
      </c>
      <c r="H119" s="4">
        <v>1508</v>
      </c>
      <c r="I119" s="4">
        <v>1547</v>
      </c>
      <c r="J119" s="4">
        <v>1581</v>
      </c>
      <c r="K119" s="4">
        <v>1594</v>
      </c>
      <c r="L119" s="4">
        <v>1544</v>
      </c>
      <c r="M119" s="4">
        <v>1427</v>
      </c>
      <c r="N119" s="4">
        <v>1319</v>
      </c>
      <c r="O119" s="4">
        <v>1227</v>
      </c>
      <c r="P119" s="4">
        <v>1174</v>
      </c>
      <c r="Q119" s="4">
        <v>1153</v>
      </c>
      <c r="R119" s="4">
        <v>1154</v>
      </c>
      <c r="S119" s="4">
        <v>1272</v>
      </c>
      <c r="T119" s="4">
        <v>1098</v>
      </c>
      <c r="U119" s="3">
        <v>916</v>
      </c>
      <c r="V119" s="3" t="s">
        <v>63</v>
      </c>
    </row>
    <row r="120" spans="1:22" ht="30" x14ac:dyDescent="0.2">
      <c r="A120" s="3" t="s">
        <v>482</v>
      </c>
      <c r="B120" s="4">
        <v>-2839</v>
      </c>
      <c r="C120" s="3">
        <v>-786</v>
      </c>
      <c r="D120" s="4">
        <v>-1030</v>
      </c>
      <c r="E120" s="3">
        <v>-564</v>
      </c>
      <c r="F120" s="3">
        <v>-457</v>
      </c>
      <c r="G120" s="3">
        <v>-321</v>
      </c>
      <c r="H120" s="3">
        <v>-238</v>
      </c>
      <c r="I120" s="3">
        <v>34</v>
      </c>
      <c r="J120" s="3">
        <v>-24</v>
      </c>
      <c r="K120" s="3">
        <v>42</v>
      </c>
      <c r="L120" s="3">
        <v>45</v>
      </c>
      <c r="M120" s="3">
        <v>87</v>
      </c>
      <c r="N120" s="3">
        <v>57</v>
      </c>
      <c r="O120" s="3">
        <v>50</v>
      </c>
      <c r="P120" s="3">
        <v>-100</v>
      </c>
      <c r="Q120" s="3">
        <v>-161</v>
      </c>
      <c r="R120" s="3">
        <v>-138</v>
      </c>
      <c r="S120" s="3">
        <v>-136</v>
      </c>
      <c r="T120" s="3" t="s">
        <v>12</v>
      </c>
      <c r="U120" s="3">
        <v>9</v>
      </c>
      <c r="V120" s="3" t="s">
        <v>63</v>
      </c>
    </row>
    <row r="121" spans="1:22" x14ac:dyDescent="0.2">
      <c r="A121" s="3" t="s">
        <v>148</v>
      </c>
      <c r="B121" s="4">
        <v>5672</v>
      </c>
      <c r="C121" s="4">
        <v>5200</v>
      </c>
      <c r="D121" s="4">
        <v>4737</v>
      </c>
      <c r="E121" s="4">
        <v>4410</v>
      </c>
      <c r="F121" s="4">
        <v>4137</v>
      </c>
      <c r="G121" s="4">
        <v>3825</v>
      </c>
      <c r="H121" s="4">
        <v>3549</v>
      </c>
      <c r="I121" s="4">
        <v>3293</v>
      </c>
      <c r="J121" s="4">
        <v>3059</v>
      </c>
      <c r="K121" s="4">
        <v>2866</v>
      </c>
      <c r="L121" s="4">
        <v>2709</v>
      </c>
      <c r="M121" s="4">
        <v>2522</v>
      </c>
      <c r="N121" s="4">
        <v>2336</v>
      </c>
      <c r="O121" s="4">
        <v>2153</v>
      </c>
      <c r="P121" s="4">
        <v>2004</v>
      </c>
      <c r="Q121" s="4">
        <v>1869</v>
      </c>
      <c r="R121" s="4">
        <v>1693</v>
      </c>
      <c r="S121" s="4">
        <v>1602</v>
      </c>
      <c r="T121" s="4">
        <v>1397</v>
      </c>
      <c r="U121" s="4">
        <v>1201</v>
      </c>
      <c r="V121" s="3" t="s">
        <v>63</v>
      </c>
    </row>
    <row r="122" spans="1:22" ht="22" customHeight="1" x14ac:dyDescent="0.2">
      <c r="A122" s="3" t="s">
        <v>149</v>
      </c>
      <c r="B122" s="4">
        <v>-3771</v>
      </c>
      <c r="C122" s="4">
        <v>-5532</v>
      </c>
      <c r="D122" s="4">
        <v>-4979</v>
      </c>
      <c r="E122" s="4">
        <v>-4430</v>
      </c>
      <c r="F122" s="4">
        <v>-4348</v>
      </c>
      <c r="G122" s="4">
        <v>-3320</v>
      </c>
      <c r="H122" s="4">
        <v>-2767</v>
      </c>
      <c r="I122" s="4">
        <v>-3208</v>
      </c>
      <c r="J122" s="4">
        <v>-3187</v>
      </c>
      <c r="K122" s="4">
        <v>-2821</v>
      </c>
      <c r="L122" s="3">
        <v>-818</v>
      </c>
      <c r="M122" s="3">
        <v>-393</v>
      </c>
      <c r="N122" s="3">
        <v>172</v>
      </c>
      <c r="O122" s="3">
        <v>454</v>
      </c>
      <c r="P122" s="3">
        <v>-359</v>
      </c>
      <c r="Q122" s="3">
        <v>-331</v>
      </c>
      <c r="R122" s="3">
        <v>-373</v>
      </c>
      <c r="S122" s="3">
        <v>-298</v>
      </c>
      <c r="T122" s="3">
        <v>-302</v>
      </c>
      <c r="U122" s="3">
        <v>-105</v>
      </c>
      <c r="V122" s="3" t="s">
        <v>63</v>
      </c>
    </row>
    <row r="123" spans="1:22" x14ac:dyDescent="0.2">
      <c r="A123" s="3" t="s">
        <v>339</v>
      </c>
      <c r="B123" s="4">
        <v>-13673</v>
      </c>
      <c r="C123" s="4">
        <v>-9764</v>
      </c>
      <c r="D123" s="4">
        <v>-13063</v>
      </c>
      <c r="E123" s="4">
        <v>-9384</v>
      </c>
      <c r="F123" s="4">
        <v>-7066</v>
      </c>
      <c r="G123" s="4">
        <v>-8286</v>
      </c>
      <c r="H123" s="4">
        <v>-6172</v>
      </c>
      <c r="I123" s="4">
        <v>-3402</v>
      </c>
      <c r="J123" s="4">
        <v>-1749</v>
      </c>
      <c r="K123" s="4">
        <v>1358</v>
      </c>
      <c r="L123" s="3">
        <v>822</v>
      </c>
      <c r="M123" s="3">
        <v>-950</v>
      </c>
      <c r="N123" s="4">
        <v>-1726</v>
      </c>
      <c r="O123" s="4">
        <v>-2408</v>
      </c>
      <c r="P123" s="4">
        <v>-2215</v>
      </c>
      <c r="Q123" s="4">
        <v>-1406</v>
      </c>
      <c r="R123" s="4">
        <v>-1502</v>
      </c>
      <c r="S123" s="3">
        <v>-896</v>
      </c>
      <c r="T123" s="3">
        <v>-550</v>
      </c>
      <c r="U123" s="3">
        <v>-868</v>
      </c>
      <c r="V123" s="3" t="s">
        <v>63</v>
      </c>
    </row>
    <row r="124" spans="1:22" x14ac:dyDescent="0.2">
      <c r="A124" s="3" t="s">
        <v>150</v>
      </c>
      <c r="B124" s="4">
        <v>-8281</v>
      </c>
      <c r="C124" s="4">
        <v>-5462</v>
      </c>
      <c r="D124" s="4">
        <v>-4781</v>
      </c>
      <c r="E124" s="4">
        <v>-2860</v>
      </c>
      <c r="F124" s="4">
        <v>-2339</v>
      </c>
      <c r="G124" s="4">
        <v>-1241</v>
      </c>
      <c r="H124" s="3">
        <v>-98</v>
      </c>
      <c r="I124" s="3">
        <v>-301</v>
      </c>
      <c r="J124" s="3">
        <v>-408</v>
      </c>
      <c r="K124" s="4">
        <v>-1428</v>
      </c>
      <c r="L124" s="4">
        <v>-2554</v>
      </c>
      <c r="M124" s="4">
        <v>-2222</v>
      </c>
      <c r="N124" s="4">
        <v>-1777</v>
      </c>
      <c r="O124" s="4">
        <v>-1175</v>
      </c>
      <c r="P124" s="3">
        <v>-774</v>
      </c>
      <c r="Q124" s="3">
        <v>-734</v>
      </c>
      <c r="R124" s="3">
        <v>-709</v>
      </c>
      <c r="S124" s="3">
        <v>-532</v>
      </c>
      <c r="T124" s="3">
        <v>-524</v>
      </c>
      <c r="U124" s="3">
        <v>-124</v>
      </c>
      <c r="V124" s="3" t="s">
        <v>63</v>
      </c>
    </row>
    <row r="125" spans="1:22" x14ac:dyDescent="0.2">
      <c r="A125" s="3" t="s">
        <v>151</v>
      </c>
      <c r="B125" s="4">
        <v>4811</v>
      </c>
      <c r="C125" s="4">
        <v>4320</v>
      </c>
      <c r="D125" s="4">
        <v>3357</v>
      </c>
      <c r="E125" s="4">
        <v>2771</v>
      </c>
      <c r="F125" s="4">
        <v>1543</v>
      </c>
      <c r="G125" s="4">
        <v>1498</v>
      </c>
      <c r="H125" s="4">
        <v>1531</v>
      </c>
      <c r="I125" s="4">
        <v>1057</v>
      </c>
      <c r="J125" s="3">
        <v>-321</v>
      </c>
      <c r="K125" s="3">
        <v>-795</v>
      </c>
      <c r="L125" s="3">
        <v>-551</v>
      </c>
      <c r="M125" s="3">
        <v>-175</v>
      </c>
      <c r="N125" s="3">
        <v>882</v>
      </c>
      <c r="O125" s="3">
        <v>787</v>
      </c>
      <c r="P125" s="3">
        <v>568</v>
      </c>
      <c r="Q125" s="3">
        <v>408</v>
      </c>
      <c r="R125" s="3">
        <v>494</v>
      </c>
      <c r="S125" s="3">
        <v>277</v>
      </c>
      <c r="T125" s="3">
        <v>312</v>
      </c>
      <c r="U125" s="3">
        <v>392</v>
      </c>
      <c r="V125" s="3" t="s">
        <v>63</v>
      </c>
    </row>
    <row r="126" spans="1:22" ht="30" x14ac:dyDescent="0.2">
      <c r="A126" s="3" t="s">
        <v>152</v>
      </c>
      <c r="B126" s="4">
        <v>6218</v>
      </c>
      <c r="C126" s="4">
        <v>9343</v>
      </c>
      <c r="D126" s="4">
        <v>5104</v>
      </c>
      <c r="E126" s="4">
        <v>4234</v>
      </c>
      <c r="F126" s="4">
        <v>2584</v>
      </c>
      <c r="G126" s="4">
        <v>4237</v>
      </c>
      <c r="H126" s="4">
        <v>1017</v>
      </c>
      <c r="I126" s="3">
        <v>930</v>
      </c>
      <c r="J126" s="4">
        <v>2622</v>
      </c>
      <c r="K126" s="4">
        <v>1212</v>
      </c>
      <c r="L126" s="3">
        <v>76</v>
      </c>
      <c r="M126" s="3">
        <v>173</v>
      </c>
      <c r="N126" s="4">
        <v>-1451</v>
      </c>
      <c r="O126" s="4">
        <v>-1581</v>
      </c>
      <c r="P126" s="3">
        <v>-942</v>
      </c>
      <c r="Q126" s="3">
        <v>-862</v>
      </c>
      <c r="R126" s="3">
        <v>205</v>
      </c>
      <c r="S126" s="3">
        <v>171</v>
      </c>
      <c r="T126" s="3">
        <v>59</v>
      </c>
      <c r="U126" s="3">
        <v>-27</v>
      </c>
      <c r="V126" s="3" t="s">
        <v>63</v>
      </c>
    </row>
    <row r="127" spans="1:22" x14ac:dyDescent="0.2">
      <c r="A127" s="3" t="s">
        <v>153</v>
      </c>
      <c r="B127" s="4">
        <v>77035</v>
      </c>
      <c r="C127" s="4">
        <v>76158</v>
      </c>
      <c r="D127" s="4">
        <v>64089</v>
      </c>
      <c r="E127" s="4">
        <v>58959</v>
      </c>
      <c r="F127" s="4">
        <v>48664</v>
      </c>
      <c r="G127" s="4">
        <v>40524</v>
      </c>
      <c r="H127" s="4">
        <v>28090</v>
      </c>
      <c r="I127" s="4">
        <v>18839</v>
      </c>
      <c r="J127" s="4">
        <v>11899</v>
      </c>
      <c r="K127" s="4">
        <v>6821</v>
      </c>
      <c r="L127" s="4">
        <v>5641</v>
      </c>
      <c r="M127" s="4">
        <v>6426</v>
      </c>
      <c r="N127" s="4">
        <v>7553</v>
      </c>
      <c r="O127" s="4">
        <v>8965</v>
      </c>
      <c r="P127" s="4">
        <v>9108</v>
      </c>
      <c r="Q127" s="4">
        <v>8142</v>
      </c>
      <c r="R127" s="4">
        <v>7902</v>
      </c>
      <c r="S127" s="4">
        <v>6787</v>
      </c>
      <c r="T127" s="4">
        <v>5822</v>
      </c>
      <c r="U127" s="4">
        <v>5220</v>
      </c>
      <c r="V127" s="3" t="s">
        <v>63</v>
      </c>
    </row>
    <row r="128" spans="1:22" x14ac:dyDescent="0.2">
      <c r="A128" s="3" t="s">
        <v>194</v>
      </c>
      <c r="B128" s="5">
        <v>0.58299999999999996</v>
      </c>
      <c r="C128" s="5">
        <v>0.87929999999999997</v>
      </c>
      <c r="D128" s="5">
        <v>1.2816000000000001</v>
      </c>
      <c r="E128" s="5">
        <v>2.1295999999999999</v>
      </c>
      <c r="F128" s="5">
        <v>3.0897999999999999</v>
      </c>
      <c r="G128" s="5">
        <v>4.9410999999999996</v>
      </c>
      <c r="H128" s="5">
        <v>3.9796</v>
      </c>
      <c r="I128" s="5">
        <v>1.9317</v>
      </c>
      <c r="J128" s="5">
        <v>0.57540000000000002</v>
      </c>
      <c r="K128" s="5">
        <v>-0.23910000000000001</v>
      </c>
      <c r="L128" s="5">
        <v>-0.38059999999999999</v>
      </c>
      <c r="M128" s="5">
        <v>-0.21079999999999999</v>
      </c>
      <c r="N128" s="5">
        <v>-4.4200000000000003E-2</v>
      </c>
      <c r="O128" s="5">
        <v>0.32090000000000002</v>
      </c>
      <c r="P128" s="5">
        <v>0.56440000000000001</v>
      </c>
      <c r="Q128" s="5">
        <v>0.55979999999999996</v>
      </c>
      <c r="R128" s="5">
        <v>0.41589999999999999</v>
      </c>
      <c r="S128" s="5">
        <v>0.37109999999999999</v>
      </c>
      <c r="T128" s="5">
        <v>0.22289999999999999</v>
      </c>
      <c r="U128" s="5">
        <v>0.24460000000000001</v>
      </c>
      <c r="V128" s="3" t="s">
        <v>63</v>
      </c>
    </row>
    <row r="129" spans="1:22" x14ac:dyDescent="0.2">
      <c r="A129" s="3" t="s">
        <v>154</v>
      </c>
      <c r="B129" s="4">
        <v>-5012</v>
      </c>
      <c r="C129" s="4">
        <v>-4094</v>
      </c>
      <c r="D129" s="4">
        <v>-3236</v>
      </c>
      <c r="E129" s="4">
        <v>-2413</v>
      </c>
      <c r="F129" s="4">
        <v>-1878</v>
      </c>
      <c r="G129" s="4">
        <v>-1190</v>
      </c>
      <c r="H129" s="4">
        <v>-1069</v>
      </c>
      <c r="I129" s="4">
        <v>-1324</v>
      </c>
      <c r="J129" s="4">
        <v>-1576</v>
      </c>
      <c r="K129" s="4">
        <v>-1720</v>
      </c>
      <c r="L129" s="4">
        <v>-1833</v>
      </c>
      <c r="M129" s="4">
        <v>-1597</v>
      </c>
      <c r="N129" s="4">
        <v>-1289</v>
      </c>
      <c r="O129" s="4">
        <v>-1039</v>
      </c>
      <c r="P129" s="3">
        <v>-976</v>
      </c>
      <c r="Q129" s="3">
        <v>-986</v>
      </c>
      <c r="R129" s="4">
        <v>-1237</v>
      </c>
      <c r="S129" s="4">
        <v>-1271</v>
      </c>
      <c r="T129" s="4">
        <v>-1128</v>
      </c>
      <c r="U129" s="3">
        <v>-990</v>
      </c>
      <c r="V129" s="3" t="s">
        <v>63</v>
      </c>
    </row>
    <row r="130" spans="1:22" x14ac:dyDescent="0.2">
      <c r="A130" s="3" t="s">
        <v>449</v>
      </c>
      <c r="B130" s="4">
        <v>-1367</v>
      </c>
      <c r="C130" s="4">
        <v>-1351</v>
      </c>
      <c r="D130" s="4">
        <v>-1007</v>
      </c>
      <c r="E130" s="3">
        <v>-465</v>
      </c>
      <c r="F130" s="3">
        <v>-317</v>
      </c>
      <c r="G130" s="3">
        <v>-39</v>
      </c>
      <c r="H130" s="3">
        <v>-83</v>
      </c>
      <c r="I130" s="3">
        <v>-83</v>
      </c>
      <c r="J130" s="3">
        <v>-83</v>
      </c>
      <c r="K130" s="3">
        <v>-96</v>
      </c>
      <c r="L130" s="3">
        <v>-49</v>
      </c>
      <c r="M130" s="3">
        <v>-109</v>
      </c>
      <c r="N130" s="3">
        <v>-312</v>
      </c>
      <c r="O130" s="3">
        <v>-299</v>
      </c>
      <c r="P130" s="3">
        <v>-263</v>
      </c>
      <c r="Q130" s="3">
        <v>-203</v>
      </c>
      <c r="R130" s="4">
        <v>-1353</v>
      </c>
      <c r="S130" s="4">
        <v>-8490</v>
      </c>
      <c r="T130" s="4">
        <v>-8524</v>
      </c>
      <c r="U130" s="4">
        <v>-8528</v>
      </c>
      <c r="V130" s="3" t="s">
        <v>63</v>
      </c>
    </row>
    <row r="131" spans="1:22" x14ac:dyDescent="0.2">
      <c r="A131" s="3" t="s">
        <v>394</v>
      </c>
      <c r="B131" s="4">
        <v>-17530</v>
      </c>
      <c r="C131" s="4">
        <v>-14521</v>
      </c>
      <c r="D131" s="4">
        <v>-16200</v>
      </c>
      <c r="E131" s="4">
        <v>-16429</v>
      </c>
      <c r="F131" s="4">
        <v>-15816</v>
      </c>
      <c r="G131" s="4">
        <v>-14065</v>
      </c>
      <c r="H131" s="4">
        <v>-9290</v>
      </c>
      <c r="I131" s="4">
        <v>-3078</v>
      </c>
      <c r="J131" s="4">
        <v>3496</v>
      </c>
      <c r="K131" s="4">
        <v>5738</v>
      </c>
      <c r="L131" s="4">
        <v>9257</v>
      </c>
      <c r="M131" s="4">
        <v>7498</v>
      </c>
      <c r="N131" s="3">
        <v>-194</v>
      </c>
      <c r="O131" s="4">
        <v>-4608</v>
      </c>
      <c r="P131" s="4">
        <v>-8591</v>
      </c>
      <c r="Q131" s="4">
        <v>-10184</v>
      </c>
      <c r="R131" s="4">
        <v>-6345</v>
      </c>
      <c r="S131" s="4">
        <v>-10131</v>
      </c>
      <c r="T131" s="4">
        <v>-10023</v>
      </c>
      <c r="U131" s="4">
        <v>-7179</v>
      </c>
      <c r="V131" s="3" t="s">
        <v>63</v>
      </c>
    </row>
    <row r="132" spans="1:22" x14ac:dyDescent="0.2">
      <c r="A132" s="3" t="s">
        <v>155</v>
      </c>
      <c r="B132" s="3">
        <v>22</v>
      </c>
      <c r="C132" s="3">
        <v>22</v>
      </c>
      <c r="D132" s="3">
        <v>22</v>
      </c>
      <c r="E132" s="3">
        <v>-25</v>
      </c>
      <c r="F132" s="3">
        <v>-145</v>
      </c>
      <c r="G132" s="3">
        <v>-124</v>
      </c>
      <c r="H132" s="3">
        <v>-124</v>
      </c>
      <c r="I132" s="3">
        <v>25</v>
      </c>
      <c r="J132" s="3">
        <v>21</v>
      </c>
      <c r="K132" s="3" t="s">
        <v>12</v>
      </c>
      <c r="L132" s="3" t="s">
        <v>12</v>
      </c>
      <c r="M132" s="3" t="s">
        <v>12</v>
      </c>
      <c r="N132" s="3" t="s">
        <v>12</v>
      </c>
      <c r="O132" s="3" t="s">
        <v>12</v>
      </c>
      <c r="P132" s="3" t="s">
        <v>12</v>
      </c>
      <c r="Q132" s="3" t="s">
        <v>12</v>
      </c>
      <c r="R132" s="3" t="s">
        <v>12</v>
      </c>
      <c r="S132" s="3" t="s">
        <v>12</v>
      </c>
      <c r="T132" s="3" t="s">
        <v>12</v>
      </c>
      <c r="U132" s="3" t="s">
        <v>12</v>
      </c>
      <c r="V132" s="3" t="s">
        <v>63</v>
      </c>
    </row>
    <row r="133" spans="1:22" x14ac:dyDescent="0.2">
      <c r="A133" s="3" t="s">
        <v>156</v>
      </c>
      <c r="B133" s="4">
        <v>-23887</v>
      </c>
      <c r="C133" s="4">
        <v>-19944</v>
      </c>
      <c r="D133" s="4">
        <v>-20421</v>
      </c>
      <c r="E133" s="4">
        <v>-19332</v>
      </c>
      <c r="F133" s="4">
        <v>-18156</v>
      </c>
      <c r="G133" s="4">
        <v>-15418</v>
      </c>
      <c r="H133" s="4">
        <v>-10566</v>
      </c>
      <c r="I133" s="4">
        <v>-4460</v>
      </c>
      <c r="J133" s="4">
        <v>1858</v>
      </c>
      <c r="K133" s="4">
        <v>3922</v>
      </c>
      <c r="L133" s="4">
        <v>7375</v>
      </c>
      <c r="M133" s="4">
        <v>5792</v>
      </c>
      <c r="N133" s="4">
        <v>-1795</v>
      </c>
      <c r="O133" s="4">
        <v>-5946</v>
      </c>
      <c r="P133" s="4">
        <v>-9830</v>
      </c>
      <c r="Q133" s="4">
        <v>-11373</v>
      </c>
      <c r="R133" s="4">
        <v>-8935</v>
      </c>
      <c r="S133" s="4">
        <v>-19892</v>
      </c>
      <c r="T133" s="4">
        <v>-19675</v>
      </c>
      <c r="U133" s="4">
        <v>-16697</v>
      </c>
      <c r="V133" s="3" t="s">
        <v>63</v>
      </c>
    </row>
    <row r="134" spans="1:22" x14ac:dyDescent="0.2">
      <c r="A134" s="3" t="s">
        <v>378</v>
      </c>
      <c r="B134" s="3" t="s">
        <v>12</v>
      </c>
      <c r="C134" s="3" t="s">
        <v>12</v>
      </c>
      <c r="D134" s="3" t="s">
        <v>12</v>
      </c>
      <c r="E134" s="3" t="s">
        <v>12</v>
      </c>
      <c r="F134" s="3" t="s">
        <v>12</v>
      </c>
      <c r="G134" s="3" t="s">
        <v>12</v>
      </c>
      <c r="H134" s="3" t="s">
        <v>12</v>
      </c>
      <c r="I134" s="3" t="s">
        <v>12</v>
      </c>
      <c r="J134" s="3" t="s">
        <v>12</v>
      </c>
      <c r="K134" s="3" t="s">
        <v>12</v>
      </c>
      <c r="L134" s="3" t="s">
        <v>12</v>
      </c>
      <c r="M134" s="3" t="s">
        <v>12</v>
      </c>
      <c r="N134" s="3" t="s">
        <v>12</v>
      </c>
      <c r="O134" s="3" t="s">
        <v>12</v>
      </c>
      <c r="P134" s="4">
        <v>4977</v>
      </c>
      <c r="Q134" s="3" t="s">
        <v>12</v>
      </c>
      <c r="R134" s="3" t="s">
        <v>12</v>
      </c>
      <c r="S134" s="3" t="s">
        <v>12</v>
      </c>
      <c r="T134" s="4">
        <v>4968</v>
      </c>
      <c r="U134" s="3" t="s">
        <v>12</v>
      </c>
      <c r="V134" s="3" t="s">
        <v>63</v>
      </c>
    </row>
    <row r="135" spans="1:22" x14ac:dyDescent="0.2">
      <c r="A135" s="3" t="s">
        <v>157</v>
      </c>
      <c r="B135" s="3" t="s">
        <v>12</v>
      </c>
      <c r="C135" s="3" t="s">
        <v>12</v>
      </c>
      <c r="D135" s="3" t="s">
        <v>12</v>
      </c>
      <c r="E135" s="3" t="s">
        <v>12</v>
      </c>
      <c r="F135" s="3" t="s">
        <v>12</v>
      </c>
      <c r="G135" s="3" t="s">
        <v>12</v>
      </c>
      <c r="H135" s="3" t="s">
        <v>12</v>
      </c>
      <c r="I135" s="3" t="s">
        <v>12</v>
      </c>
      <c r="J135" s="3" t="s">
        <v>12</v>
      </c>
      <c r="K135" s="3" t="s">
        <v>12</v>
      </c>
      <c r="L135" s="3" t="s">
        <v>12</v>
      </c>
      <c r="M135" s="3" t="s">
        <v>12</v>
      </c>
      <c r="N135" s="3">
        <v>-8</v>
      </c>
      <c r="O135" s="4">
        <v>4977</v>
      </c>
      <c r="P135" s="4">
        <v>4977</v>
      </c>
      <c r="Q135" s="4">
        <v>4974</v>
      </c>
      <c r="R135" s="4">
        <v>4982</v>
      </c>
      <c r="S135" s="3">
        <v>-11</v>
      </c>
      <c r="T135" s="4">
        <v>4968</v>
      </c>
      <c r="U135" s="4">
        <v>4971</v>
      </c>
      <c r="V135" s="3" t="s">
        <v>63</v>
      </c>
    </row>
    <row r="136" spans="1:22" x14ac:dyDescent="0.2">
      <c r="A136" s="3" t="s">
        <v>158</v>
      </c>
      <c r="B136" s="3" t="s">
        <v>12</v>
      </c>
      <c r="C136" s="3" t="s">
        <v>12</v>
      </c>
      <c r="D136" s="4">
        <v>-1250</v>
      </c>
      <c r="E136" s="3" t="s">
        <v>12</v>
      </c>
      <c r="F136" s="3" t="s">
        <v>12</v>
      </c>
      <c r="G136" s="3" t="s">
        <v>12</v>
      </c>
      <c r="H136" s="4">
        <v>-1250</v>
      </c>
      <c r="I136" s="3" t="s">
        <v>12</v>
      </c>
      <c r="J136" s="3" t="s">
        <v>12</v>
      </c>
      <c r="K136" s="3" t="s">
        <v>12</v>
      </c>
      <c r="L136" s="3" t="s">
        <v>12</v>
      </c>
      <c r="M136" s="3" t="s">
        <v>12</v>
      </c>
      <c r="N136" s="3" t="s">
        <v>12</v>
      </c>
      <c r="O136" s="3" t="s">
        <v>12</v>
      </c>
      <c r="P136" s="4">
        <v>-1000</v>
      </c>
      <c r="Q136" s="3" t="s">
        <v>12</v>
      </c>
      <c r="R136" s="3" t="s">
        <v>12</v>
      </c>
      <c r="S136" s="3" t="s">
        <v>12</v>
      </c>
      <c r="T136" s="3" t="s">
        <v>12</v>
      </c>
      <c r="U136" s="3" t="s">
        <v>12</v>
      </c>
      <c r="V136" s="3" t="s">
        <v>63</v>
      </c>
    </row>
    <row r="137" spans="1:22" x14ac:dyDescent="0.2">
      <c r="A137" s="3" t="s">
        <v>159</v>
      </c>
      <c r="B137" s="3" t="s">
        <v>12</v>
      </c>
      <c r="C137" s="4">
        <v>-1250</v>
      </c>
      <c r="D137" s="4">
        <v>-1250</v>
      </c>
      <c r="E137" s="4">
        <v>-1250</v>
      </c>
      <c r="F137" s="4">
        <v>-1250</v>
      </c>
      <c r="G137" s="4">
        <v>-1250</v>
      </c>
      <c r="H137" s="4">
        <v>-1250</v>
      </c>
      <c r="I137" s="4">
        <v>-1250</v>
      </c>
      <c r="J137" s="4">
        <v>-1250</v>
      </c>
      <c r="K137" s="3" t="s">
        <v>12</v>
      </c>
      <c r="L137" s="3" t="s">
        <v>12</v>
      </c>
      <c r="M137" s="3" t="s">
        <v>12</v>
      </c>
      <c r="N137" s="4">
        <v>-1000</v>
      </c>
      <c r="O137" s="4">
        <v>-1000</v>
      </c>
      <c r="P137" s="4">
        <v>-1000</v>
      </c>
      <c r="Q137" s="4">
        <v>-1000</v>
      </c>
      <c r="R137" s="3" t="s">
        <v>12</v>
      </c>
      <c r="S137" s="3" t="s">
        <v>12</v>
      </c>
      <c r="T137" s="3" t="s">
        <v>12</v>
      </c>
      <c r="U137" s="3" t="s">
        <v>12</v>
      </c>
      <c r="V137" s="3" t="s">
        <v>63</v>
      </c>
    </row>
    <row r="138" spans="1:22" x14ac:dyDescent="0.2">
      <c r="A138" s="3" t="s">
        <v>160</v>
      </c>
      <c r="B138" s="3" t="s">
        <v>12</v>
      </c>
      <c r="C138" s="4">
        <v>-1250</v>
      </c>
      <c r="D138" s="4">
        <v>-1250</v>
      </c>
      <c r="E138" s="4">
        <v>-1250</v>
      </c>
      <c r="F138" s="4">
        <v>-1250</v>
      </c>
      <c r="G138" s="4">
        <v>-1250</v>
      </c>
      <c r="H138" s="4">
        <v>-1250</v>
      </c>
      <c r="I138" s="4">
        <v>-1250</v>
      </c>
      <c r="J138" s="4">
        <v>-1250</v>
      </c>
      <c r="K138" s="3" t="s">
        <v>12</v>
      </c>
      <c r="L138" s="3" t="s">
        <v>12</v>
      </c>
      <c r="M138" s="3" t="s">
        <v>12</v>
      </c>
      <c r="N138" s="4">
        <v>-1008</v>
      </c>
      <c r="O138" s="4">
        <v>3977</v>
      </c>
      <c r="P138" s="4">
        <v>3977</v>
      </c>
      <c r="Q138" s="4">
        <v>3974</v>
      </c>
      <c r="R138" s="4">
        <v>4982</v>
      </c>
      <c r="S138" s="3">
        <v>-11</v>
      </c>
      <c r="T138" s="4">
        <v>4968</v>
      </c>
      <c r="U138" s="4">
        <v>4971</v>
      </c>
      <c r="V138" s="3" t="s">
        <v>63</v>
      </c>
    </row>
    <row r="139" spans="1:22" x14ac:dyDescent="0.2">
      <c r="A139" s="3" t="s">
        <v>204</v>
      </c>
      <c r="B139" s="3">
        <v>575</v>
      </c>
      <c r="C139" s="3">
        <v>575</v>
      </c>
      <c r="D139" s="3">
        <v>490</v>
      </c>
      <c r="E139" s="3">
        <v>489</v>
      </c>
      <c r="F139" s="3">
        <v>441</v>
      </c>
      <c r="G139" s="3">
        <v>442</v>
      </c>
      <c r="H139" s="3">
        <v>403</v>
      </c>
      <c r="I139" s="3">
        <v>409</v>
      </c>
      <c r="J139" s="3">
        <v>397</v>
      </c>
      <c r="K139" s="3">
        <v>397</v>
      </c>
      <c r="L139" s="3">
        <v>355</v>
      </c>
      <c r="M139" s="3">
        <v>353</v>
      </c>
      <c r="N139" s="3">
        <v>358</v>
      </c>
      <c r="O139" s="3">
        <v>359</v>
      </c>
      <c r="P139" s="3">
        <v>281</v>
      </c>
      <c r="Q139" s="3">
        <v>281</v>
      </c>
      <c r="R139" s="3">
        <v>228</v>
      </c>
      <c r="S139" s="3">
        <v>232</v>
      </c>
      <c r="T139" s="3">
        <v>194</v>
      </c>
      <c r="U139" s="3">
        <v>193</v>
      </c>
      <c r="V139" s="3" t="s">
        <v>63</v>
      </c>
    </row>
    <row r="140" spans="1:22" x14ac:dyDescent="0.2">
      <c r="A140" s="3" t="s">
        <v>195</v>
      </c>
      <c r="B140" s="4">
        <v>-49544</v>
      </c>
      <c r="C140" s="4">
        <v>-46771</v>
      </c>
      <c r="D140" s="4">
        <v>-40636</v>
      </c>
      <c r="E140" s="4">
        <v>-34463</v>
      </c>
      <c r="F140" s="4">
        <v>-26357</v>
      </c>
      <c r="G140" s="4">
        <v>-21301</v>
      </c>
      <c r="H140" s="4">
        <v>-12316</v>
      </c>
      <c r="I140" s="4">
        <v>-10373</v>
      </c>
      <c r="J140" s="4">
        <v>-9582</v>
      </c>
      <c r="K140" s="4">
        <v>-9493</v>
      </c>
      <c r="L140" s="4">
        <v>-11514</v>
      </c>
      <c r="M140" s="4">
        <v>-10579</v>
      </c>
      <c r="N140" s="4">
        <v>-7239</v>
      </c>
      <c r="O140" s="4">
        <v>-3955</v>
      </c>
      <c r="P140" s="4">
        <v>-1904</v>
      </c>
      <c r="Q140" s="4">
        <v>-1508</v>
      </c>
      <c r="R140" s="4">
        <v>-1367</v>
      </c>
      <c r="S140" s="4">
        <v>-1197</v>
      </c>
      <c r="T140" s="3">
        <v>-942</v>
      </c>
      <c r="U140" s="3">
        <v>-804</v>
      </c>
      <c r="V140" s="3" t="s">
        <v>63</v>
      </c>
    </row>
    <row r="141" spans="1:22" x14ac:dyDescent="0.2">
      <c r="A141" s="3" t="s">
        <v>452</v>
      </c>
      <c r="B141" s="3">
        <v>-978</v>
      </c>
      <c r="C141" s="3">
        <v>-980</v>
      </c>
      <c r="D141" s="3">
        <v>-834</v>
      </c>
      <c r="E141" s="3">
        <v>-688</v>
      </c>
      <c r="F141" s="3">
        <v>-540</v>
      </c>
      <c r="G141" s="3">
        <v>-394</v>
      </c>
      <c r="H141" s="3">
        <v>-395</v>
      </c>
      <c r="I141" s="3">
        <v>-394</v>
      </c>
      <c r="J141" s="3">
        <v>-397</v>
      </c>
      <c r="K141" s="3">
        <v>-397</v>
      </c>
      <c r="L141" s="3">
        <v>-398</v>
      </c>
      <c r="M141" s="3">
        <v>-401</v>
      </c>
      <c r="N141" s="3">
        <v>-401</v>
      </c>
      <c r="O141" s="3">
        <v>-400</v>
      </c>
      <c r="P141" s="3">
        <v>-399</v>
      </c>
      <c r="Q141" s="3">
        <v>-397</v>
      </c>
      <c r="R141" s="3">
        <v>-396</v>
      </c>
      <c r="S141" s="3">
        <v>-396</v>
      </c>
      <c r="T141" s="3">
        <v>-395</v>
      </c>
      <c r="U141" s="3">
        <v>-394</v>
      </c>
      <c r="V141" s="3" t="s">
        <v>63</v>
      </c>
    </row>
    <row r="142" spans="1:22" x14ac:dyDescent="0.2">
      <c r="A142" s="3" t="s">
        <v>161</v>
      </c>
      <c r="B142" s="3">
        <v>-133</v>
      </c>
      <c r="C142" s="3">
        <v>-141</v>
      </c>
      <c r="D142" s="3">
        <v>-129</v>
      </c>
      <c r="E142" s="3">
        <v>-127</v>
      </c>
      <c r="F142" s="3">
        <v>-113</v>
      </c>
      <c r="G142" s="3">
        <v>-95</v>
      </c>
      <c r="H142" s="3">
        <v>-75</v>
      </c>
      <c r="I142" s="3">
        <v>-52</v>
      </c>
      <c r="J142" s="3">
        <v>-56</v>
      </c>
      <c r="K142" s="3">
        <v>-58</v>
      </c>
      <c r="L142" s="3">
        <v>-60</v>
      </c>
      <c r="M142" s="3">
        <v>-79</v>
      </c>
      <c r="N142" s="3">
        <v>-83</v>
      </c>
      <c r="O142" s="3">
        <v>-91</v>
      </c>
      <c r="P142" s="3">
        <v>-90</v>
      </c>
      <c r="Q142" s="3">
        <v>-82</v>
      </c>
      <c r="R142" s="3">
        <v>-60</v>
      </c>
      <c r="S142" s="3">
        <v>-39</v>
      </c>
      <c r="T142" s="3">
        <v>-21</v>
      </c>
      <c r="U142" s="3">
        <v>-3</v>
      </c>
      <c r="V142" s="3" t="s">
        <v>63</v>
      </c>
    </row>
    <row r="143" spans="1:22" x14ac:dyDescent="0.2">
      <c r="A143" s="3" t="s">
        <v>162</v>
      </c>
      <c r="B143" s="4">
        <v>-50080</v>
      </c>
      <c r="C143" s="4">
        <v>-48567</v>
      </c>
      <c r="D143" s="4">
        <v>-42359</v>
      </c>
      <c r="E143" s="4">
        <v>-36039</v>
      </c>
      <c r="F143" s="4">
        <v>-27819</v>
      </c>
      <c r="G143" s="4">
        <v>-22598</v>
      </c>
      <c r="H143" s="4">
        <v>-13633</v>
      </c>
      <c r="I143" s="4">
        <v>-11660</v>
      </c>
      <c r="J143" s="4">
        <v>-10888</v>
      </c>
      <c r="K143" s="4">
        <v>-9551</v>
      </c>
      <c r="L143" s="4">
        <v>-11617</v>
      </c>
      <c r="M143" s="4">
        <v>-10706</v>
      </c>
      <c r="N143" s="4">
        <v>-8373</v>
      </c>
      <c r="O143" s="3">
        <v>-110</v>
      </c>
      <c r="P143" s="4">
        <v>1865</v>
      </c>
      <c r="Q143" s="4">
        <v>2268</v>
      </c>
      <c r="R143" s="4">
        <v>3387</v>
      </c>
      <c r="S143" s="4">
        <v>-1411</v>
      </c>
      <c r="T143" s="4">
        <v>3804</v>
      </c>
      <c r="U143" s="4">
        <v>3963</v>
      </c>
      <c r="V143" s="3" t="s">
        <v>63</v>
      </c>
    </row>
    <row r="144" spans="1:22" x14ac:dyDescent="0.2">
      <c r="A144" s="3" t="s">
        <v>163</v>
      </c>
      <c r="B144" s="4">
        <v>3068</v>
      </c>
      <c r="C144" s="4">
        <v>7647</v>
      </c>
      <c r="D144" s="4">
        <v>1309</v>
      </c>
      <c r="E144" s="4">
        <v>3588</v>
      </c>
      <c r="F144" s="4">
        <v>2689</v>
      </c>
      <c r="G144" s="4">
        <v>2508</v>
      </c>
      <c r="H144" s="4">
        <v>3891</v>
      </c>
      <c r="I144" s="4">
        <v>2719</v>
      </c>
      <c r="J144" s="4">
        <v>2869</v>
      </c>
      <c r="K144" s="4">
        <v>1192</v>
      </c>
      <c r="L144" s="4">
        <v>1399</v>
      </c>
      <c r="M144" s="4">
        <v>1512</v>
      </c>
      <c r="N144" s="4">
        <v>-2615</v>
      </c>
      <c r="O144" s="4">
        <v>2909</v>
      </c>
      <c r="P144" s="4">
        <v>1143</v>
      </c>
      <c r="Q144" s="3">
        <v>-963</v>
      </c>
      <c r="R144" s="4">
        <v>2354</v>
      </c>
      <c r="S144" s="4">
        <v>-14516</v>
      </c>
      <c r="T144" s="4">
        <v>-10049</v>
      </c>
      <c r="U144" s="4">
        <v>-7514</v>
      </c>
      <c r="V144" s="3" t="s">
        <v>63</v>
      </c>
    </row>
    <row r="145" spans="1:22" x14ac:dyDescent="0.2">
      <c r="A145" s="3" t="s">
        <v>6</v>
      </c>
      <c r="B145" s="4">
        <v>72023</v>
      </c>
      <c r="C145" s="4">
        <v>72064</v>
      </c>
      <c r="D145" s="4">
        <v>60853</v>
      </c>
      <c r="E145" s="4">
        <v>56546</v>
      </c>
      <c r="F145" s="4">
        <v>46786</v>
      </c>
      <c r="G145" s="4">
        <v>39334</v>
      </c>
      <c r="H145" s="4">
        <v>27021</v>
      </c>
      <c r="I145" s="4">
        <v>17515</v>
      </c>
      <c r="J145" s="4">
        <v>10323</v>
      </c>
      <c r="K145" s="4">
        <v>5101</v>
      </c>
      <c r="L145" s="4">
        <v>3808</v>
      </c>
      <c r="M145" s="4">
        <v>4829</v>
      </c>
      <c r="N145" s="4">
        <v>6264</v>
      </c>
      <c r="O145" s="4">
        <v>7926</v>
      </c>
      <c r="P145" s="4">
        <v>8132</v>
      </c>
      <c r="Q145" s="4">
        <v>7156</v>
      </c>
      <c r="R145" s="4">
        <v>6665</v>
      </c>
      <c r="S145" s="4">
        <v>5516</v>
      </c>
      <c r="T145" s="4">
        <v>4694</v>
      </c>
      <c r="U145" s="4">
        <v>4230</v>
      </c>
      <c r="V145" s="3" t="s">
        <v>63</v>
      </c>
    </row>
    <row r="146" spans="1:22" x14ac:dyDescent="0.2">
      <c r="A146" s="3" t="s">
        <v>197</v>
      </c>
      <c r="B146" s="5">
        <v>0.53939999999999999</v>
      </c>
      <c r="C146" s="5">
        <v>0.83209999999999995</v>
      </c>
      <c r="D146" s="5">
        <v>1.2521</v>
      </c>
      <c r="E146" s="5">
        <v>2.2284000000000002</v>
      </c>
      <c r="F146" s="5">
        <v>3.5322</v>
      </c>
      <c r="G146" s="5">
        <v>6.7110000000000003</v>
      </c>
      <c r="H146" s="5">
        <v>6.0959000000000003</v>
      </c>
      <c r="I146" s="5">
        <v>2.6269999999999998</v>
      </c>
      <c r="J146" s="5">
        <v>0.64800000000000002</v>
      </c>
      <c r="K146" s="5">
        <v>-0.35639999999999999</v>
      </c>
      <c r="L146" s="5">
        <v>-0.53169999999999995</v>
      </c>
      <c r="M146" s="5">
        <v>-0.32519999999999999</v>
      </c>
      <c r="N146" s="5">
        <v>-6.0199999999999997E-2</v>
      </c>
      <c r="O146" s="5">
        <v>0.43690000000000001</v>
      </c>
      <c r="P146" s="5">
        <v>0.73240000000000005</v>
      </c>
      <c r="Q146" s="5">
        <v>0.69169999999999998</v>
      </c>
      <c r="R146" s="5">
        <v>0.34350000000000003</v>
      </c>
      <c r="S146" s="5">
        <v>0.24399999999999999</v>
      </c>
      <c r="T146" s="5">
        <v>9.8799999999999999E-2</v>
      </c>
      <c r="U146" s="5">
        <v>0.15989999999999999</v>
      </c>
      <c r="V146" s="3" t="s">
        <v>63</v>
      </c>
    </row>
    <row r="147" spans="1:22" x14ac:dyDescent="0.2">
      <c r="A147" s="3" t="s">
        <v>114</v>
      </c>
      <c r="B147" s="5">
        <v>0.43590000000000001</v>
      </c>
      <c r="C147" s="5">
        <v>0.48520000000000002</v>
      </c>
      <c r="D147" s="5">
        <v>0.46629999999999999</v>
      </c>
      <c r="E147" s="5">
        <v>0.49919999999999998</v>
      </c>
      <c r="F147" s="5">
        <v>0.48580000000000001</v>
      </c>
      <c r="G147" s="5">
        <v>0.49309999999999998</v>
      </c>
      <c r="H147" s="5">
        <v>0.44350000000000001</v>
      </c>
      <c r="I147" s="5">
        <v>0.39029999999999998</v>
      </c>
      <c r="J147" s="5">
        <v>0.31590000000000001</v>
      </c>
      <c r="K147" s="5">
        <v>0.1971</v>
      </c>
      <c r="L147" s="5">
        <v>0.14119999999999999</v>
      </c>
      <c r="M147" s="5">
        <v>0.1691</v>
      </c>
      <c r="N147" s="5">
        <v>0.21060000000000001</v>
      </c>
      <c r="O147" s="5">
        <v>0.26829999999999998</v>
      </c>
      <c r="P147" s="5">
        <v>0.30209999999999998</v>
      </c>
      <c r="Q147" s="5">
        <v>0.29480000000000001</v>
      </c>
      <c r="R147" s="5">
        <v>0.3044</v>
      </c>
      <c r="S147" s="5">
        <v>0.28649999999999998</v>
      </c>
      <c r="T147" s="5">
        <v>0.28149999999999997</v>
      </c>
      <c r="U147" s="5">
        <v>0.2863</v>
      </c>
      <c r="V147" s="3" t="s">
        <v>63</v>
      </c>
    </row>
    <row r="148" spans="1:22" x14ac:dyDescent="0.2">
      <c r="A148" s="3" t="s">
        <v>18</v>
      </c>
      <c r="B148" s="3">
        <v>2.92</v>
      </c>
      <c r="C148" s="3">
        <v>2.91</v>
      </c>
      <c r="D148" s="3">
        <v>2.4500000000000002</v>
      </c>
      <c r="E148" s="3">
        <v>2.27</v>
      </c>
      <c r="F148" s="3">
        <v>1.88</v>
      </c>
      <c r="G148" s="3">
        <v>1.58</v>
      </c>
      <c r="H148" s="3">
        <v>1.08</v>
      </c>
      <c r="I148" s="3">
        <v>0.7</v>
      </c>
      <c r="J148" s="3">
        <v>0.41</v>
      </c>
      <c r="K148" s="3">
        <v>0.2</v>
      </c>
      <c r="L148" s="3">
        <v>0.15</v>
      </c>
      <c r="M148" s="3">
        <v>0.19</v>
      </c>
      <c r="N148" s="3">
        <v>0.25</v>
      </c>
      <c r="O148" s="3">
        <v>0.31</v>
      </c>
      <c r="P148" s="3">
        <v>0.32</v>
      </c>
      <c r="Q148" s="3">
        <v>0.28000000000000003</v>
      </c>
      <c r="R148" s="3">
        <v>0.26</v>
      </c>
      <c r="S148" s="3">
        <v>0.22</v>
      </c>
      <c r="T148" s="3">
        <v>0.19</v>
      </c>
      <c r="U148" s="3">
        <v>0.17</v>
      </c>
      <c r="V148" s="3" t="s">
        <v>63</v>
      </c>
    </row>
    <row r="149" spans="1:22" x14ac:dyDescent="0.2">
      <c r="A149" s="3" t="s">
        <v>164</v>
      </c>
      <c r="B149" s="3">
        <v>246</v>
      </c>
      <c r="C149" s="3">
        <v>246</v>
      </c>
      <c r="D149" s="3">
        <v>246</v>
      </c>
      <c r="E149" s="3">
        <v>252</v>
      </c>
      <c r="F149" s="3">
        <v>252</v>
      </c>
      <c r="G149" s="3">
        <v>252</v>
      </c>
      <c r="H149" s="3">
        <v>252</v>
      </c>
      <c r="I149" s="3">
        <v>254</v>
      </c>
      <c r="J149" s="3">
        <v>254</v>
      </c>
      <c r="K149" s="3">
        <v>254</v>
      </c>
      <c r="L149" s="3">
        <v>254</v>
      </c>
      <c r="M149" s="3">
        <v>246</v>
      </c>
      <c r="N149" s="3">
        <v>246</v>
      </c>
      <c r="O149" s="3">
        <v>246</v>
      </c>
      <c r="P149" s="3">
        <v>246</v>
      </c>
      <c r="Q149" s="3">
        <v>138</v>
      </c>
      <c r="R149" s="3">
        <v>138</v>
      </c>
      <c r="S149" s="3">
        <v>138</v>
      </c>
      <c r="T149" s="3">
        <v>138</v>
      </c>
      <c r="U149" s="3">
        <v>54</v>
      </c>
      <c r="V149" s="3" t="s">
        <v>63</v>
      </c>
    </row>
    <row r="150" spans="1:22" x14ac:dyDescent="0.2">
      <c r="A150" s="3" t="s">
        <v>165</v>
      </c>
      <c r="B150" s="4">
        <v>16120</v>
      </c>
      <c r="C150" s="4">
        <v>15118</v>
      </c>
      <c r="D150" s="4">
        <v>15118</v>
      </c>
      <c r="E150" s="4">
        <v>12862</v>
      </c>
      <c r="F150" s="4">
        <v>13670</v>
      </c>
      <c r="G150" s="4">
        <v>6549</v>
      </c>
      <c r="H150" s="4">
        <v>6549</v>
      </c>
      <c r="I150" s="4">
        <v>4708</v>
      </c>
      <c r="J150" s="3">
        <v>624</v>
      </c>
      <c r="K150" s="4">
        <v>1404</v>
      </c>
      <c r="L150" s="4">
        <v>1404</v>
      </c>
      <c r="M150" s="4">
        <v>1455</v>
      </c>
      <c r="N150" s="4">
        <v>1263</v>
      </c>
      <c r="O150" s="3">
        <v>396</v>
      </c>
      <c r="P150" s="3">
        <v>396</v>
      </c>
      <c r="Q150" s="3">
        <v>562</v>
      </c>
      <c r="R150" s="3">
        <v>490</v>
      </c>
      <c r="S150" s="3">
        <v>249</v>
      </c>
      <c r="T150" s="3">
        <v>249</v>
      </c>
      <c r="U150" s="3">
        <v>176</v>
      </c>
      <c r="V150" s="3" t="s">
        <v>63</v>
      </c>
    </row>
    <row r="151" spans="1:22" x14ac:dyDescent="0.2">
      <c r="A151" s="3" t="s">
        <v>166</v>
      </c>
      <c r="B151" s="4">
        <v>52437</v>
      </c>
      <c r="C151" s="4">
        <v>55443</v>
      </c>
      <c r="D151" s="4">
        <v>44170</v>
      </c>
      <c r="E151" s="4">
        <v>41753</v>
      </c>
      <c r="F151" s="4">
        <v>33726</v>
      </c>
      <c r="G151" s="4">
        <v>29024</v>
      </c>
      <c r="H151" s="4">
        <v>19867</v>
      </c>
      <c r="I151" s="4">
        <v>14115</v>
      </c>
      <c r="J151" s="4">
        <v>9955</v>
      </c>
      <c r="K151" s="4">
        <v>5471</v>
      </c>
      <c r="L151" s="4">
        <v>4533</v>
      </c>
      <c r="M151" s="4">
        <v>5153</v>
      </c>
      <c r="N151" s="4">
        <v>6692</v>
      </c>
      <c r="O151" s="4">
        <v>8018</v>
      </c>
      <c r="P151" s="4">
        <v>6468</v>
      </c>
      <c r="Q151" s="4">
        <v>5935</v>
      </c>
      <c r="R151" s="4">
        <v>4634</v>
      </c>
      <c r="S151" s="4">
        <v>3871</v>
      </c>
      <c r="T151" s="4">
        <v>3735</v>
      </c>
      <c r="U151" s="4">
        <v>3213</v>
      </c>
      <c r="V151" s="3" t="s">
        <v>63</v>
      </c>
    </row>
    <row r="152" spans="1:22" x14ac:dyDescent="0.2">
      <c r="A152" s="3" t="s">
        <v>167</v>
      </c>
      <c r="B152" s="4">
        <v>52591</v>
      </c>
      <c r="C152" s="4">
        <v>55597</v>
      </c>
      <c r="D152" s="4">
        <v>44324</v>
      </c>
      <c r="E152" s="4">
        <v>41909</v>
      </c>
      <c r="F152" s="4">
        <v>33883</v>
      </c>
      <c r="G152" s="4">
        <v>29183</v>
      </c>
      <c r="H152" s="4">
        <v>20028</v>
      </c>
      <c r="I152" s="4">
        <v>14276</v>
      </c>
      <c r="J152" s="4">
        <v>10118</v>
      </c>
      <c r="K152" s="4">
        <v>5633</v>
      </c>
      <c r="L152" s="4">
        <v>4697</v>
      </c>
      <c r="M152" s="4">
        <v>5315</v>
      </c>
      <c r="N152" s="4">
        <v>6852</v>
      </c>
      <c r="O152" s="4">
        <v>8175</v>
      </c>
      <c r="P152" s="4">
        <v>6616</v>
      </c>
      <c r="Q152" s="4">
        <v>6078</v>
      </c>
      <c r="R152" s="4">
        <v>4771</v>
      </c>
      <c r="S152" s="4">
        <v>4003</v>
      </c>
      <c r="T152" s="4">
        <v>3850</v>
      </c>
      <c r="U152" s="4">
        <v>3303</v>
      </c>
      <c r="V152" s="3" t="s">
        <v>63</v>
      </c>
    </row>
    <row r="153" spans="1:22" x14ac:dyDescent="0.2">
      <c r="A153" s="3" t="s">
        <v>489</v>
      </c>
      <c r="B153" s="4">
        <v>-10925</v>
      </c>
      <c r="C153" s="4">
        <v>-1563</v>
      </c>
      <c r="D153" s="4">
        <v>-9383</v>
      </c>
      <c r="E153" s="4">
        <v>-5239</v>
      </c>
      <c r="F153" s="4">
        <v>-5278</v>
      </c>
      <c r="G153" s="4">
        <v>-3792</v>
      </c>
      <c r="H153" s="4">
        <v>-3722</v>
      </c>
      <c r="I153" s="4">
        <v>-1716</v>
      </c>
      <c r="J153" s="3">
        <v>144</v>
      </c>
      <c r="K153" s="3">
        <v>347</v>
      </c>
      <c r="L153" s="4">
        <v>-2207</v>
      </c>
      <c r="M153" s="4">
        <v>-3174</v>
      </c>
      <c r="N153" s="4">
        <v>-4072</v>
      </c>
      <c r="O153" s="4">
        <v>-4377</v>
      </c>
      <c r="P153" s="4">
        <v>-3363</v>
      </c>
      <c r="Q153" s="4">
        <v>-2594</v>
      </c>
      <c r="R153" s="4">
        <v>-1512</v>
      </c>
      <c r="S153" s="3">
        <v>-980</v>
      </c>
      <c r="T153" s="3">
        <v>-703</v>
      </c>
      <c r="U153" s="3">
        <v>-627</v>
      </c>
      <c r="V153" s="3" t="s">
        <v>63</v>
      </c>
    </row>
    <row r="167" spans="1:23" x14ac:dyDescent="0.2">
      <c r="A167" s="1" t="s">
        <v>97</v>
      </c>
      <c r="B167" s="1" t="s">
        <v>169</v>
      </c>
      <c r="C167" s="1" t="s">
        <v>535</v>
      </c>
      <c r="D167" s="1" t="s">
        <v>532</v>
      </c>
      <c r="E167" s="1" t="s">
        <v>533</v>
      </c>
      <c r="F167" s="1" t="s">
        <v>529</v>
      </c>
      <c r="G167" s="1" t="s">
        <v>446</v>
      </c>
      <c r="H167" s="1" t="s">
        <v>396</v>
      </c>
      <c r="I167" s="1" t="s">
        <v>98</v>
      </c>
      <c r="J167" s="1" t="s">
        <v>99</v>
      </c>
      <c r="K167" s="1" t="s">
        <v>177</v>
      </c>
      <c r="L167" s="1" t="s">
        <v>178</v>
      </c>
      <c r="M167" s="1" t="s">
        <v>100</v>
      </c>
      <c r="N167" s="1" t="s">
        <v>179</v>
      </c>
      <c r="O167" s="1" t="s">
        <v>180</v>
      </c>
      <c r="P167" s="1" t="s">
        <v>181</v>
      </c>
      <c r="Q167" s="1" t="s">
        <v>101</v>
      </c>
      <c r="R167" s="1" t="s">
        <v>182</v>
      </c>
      <c r="S167" s="1" t="s">
        <v>183</v>
      </c>
      <c r="T167" s="1" t="s">
        <v>184</v>
      </c>
      <c r="U167" s="1" t="s">
        <v>102</v>
      </c>
      <c r="V167" s="1" t="s">
        <v>185</v>
      </c>
      <c r="W167" s="1" t="s">
        <v>439</v>
      </c>
    </row>
    <row r="168" spans="1:23" x14ac:dyDescent="0.2">
      <c r="A168" s="1" t="s">
        <v>10</v>
      </c>
      <c r="B168" s="1" t="s">
        <v>528</v>
      </c>
      <c r="C168" s="1" t="s">
        <v>536</v>
      </c>
      <c r="D168" s="1" t="s">
        <v>537</v>
      </c>
      <c r="E168" s="1" t="s">
        <v>538</v>
      </c>
      <c r="F168" s="1" t="s">
        <v>539</v>
      </c>
      <c r="G168" s="1" t="s">
        <v>540</v>
      </c>
      <c r="H168" s="1" t="s">
        <v>541</v>
      </c>
      <c r="I168" s="1" t="s">
        <v>542</v>
      </c>
      <c r="J168" s="1" t="s">
        <v>543</v>
      </c>
      <c r="K168" s="1" t="s">
        <v>544</v>
      </c>
      <c r="L168" s="1" t="s">
        <v>545</v>
      </c>
      <c r="M168" s="1" t="s">
        <v>546</v>
      </c>
      <c r="N168" s="1" t="s">
        <v>547</v>
      </c>
      <c r="O168" s="1" t="s">
        <v>548</v>
      </c>
      <c r="P168" s="1" t="s">
        <v>549</v>
      </c>
      <c r="Q168" s="1" t="s">
        <v>550</v>
      </c>
      <c r="R168" s="1" t="s">
        <v>551</v>
      </c>
      <c r="S168" s="1" t="s">
        <v>552</v>
      </c>
      <c r="T168" s="1" t="s">
        <v>553</v>
      </c>
      <c r="U168" s="1" t="s">
        <v>554</v>
      </c>
      <c r="V168" s="1" t="s">
        <v>555</v>
      </c>
      <c r="W168" s="1" t="s">
        <v>439</v>
      </c>
    </row>
    <row r="169" spans="1:23" ht="17" x14ac:dyDescent="0.2">
      <c r="A169" s="12" t="s">
        <v>170</v>
      </c>
      <c r="B169" s="4">
        <v>4526118</v>
      </c>
      <c r="C169" s="4">
        <v>4233400</v>
      </c>
      <c r="D169" s="4">
        <v>2708644</v>
      </c>
      <c r="E169" s="4">
        <v>3492764</v>
      </c>
      <c r="F169" s="4">
        <v>3471976</v>
      </c>
      <c r="G169" s="4">
        <v>2778488</v>
      </c>
      <c r="H169" s="4">
        <v>2159334</v>
      </c>
      <c r="I169" s="4">
        <v>1507466</v>
      </c>
      <c r="J169" s="4">
        <v>1000350</v>
      </c>
      <c r="K169" s="4">
        <v>1156188</v>
      </c>
      <c r="L169" s="4">
        <v>684328</v>
      </c>
      <c r="M169" s="4">
        <v>501183</v>
      </c>
      <c r="N169" s="4">
        <v>344328</v>
      </c>
      <c r="O169" s="4">
        <v>454804</v>
      </c>
      <c r="P169" s="4">
        <v>464420</v>
      </c>
      <c r="Q169" s="4">
        <v>571000</v>
      </c>
      <c r="R169" s="4">
        <v>638152</v>
      </c>
      <c r="S169" s="4">
        <v>485915</v>
      </c>
      <c r="T169" s="4">
        <v>373667</v>
      </c>
      <c r="U169" s="4">
        <v>321626</v>
      </c>
      <c r="V169" s="4">
        <v>335795</v>
      </c>
      <c r="W169" s="3" t="s">
        <v>63</v>
      </c>
    </row>
    <row r="170" spans="1:23" x14ac:dyDescent="0.2">
      <c r="A170" s="3" t="s">
        <v>198</v>
      </c>
      <c r="B170" s="5">
        <v>0.39100000000000001</v>
      </c>
      <c r="C170" s="5">
        <v>0.52359999999999995</v>
      </c>
      <c r="D170" s="5">
        <v>0.25440000000000002</v>
      </c>
      <c r="E170" s="5">
        <v>1.3169999999999999</v>
      </c>
      <c r="F170" s="5">
        <v>2.4708000000000001</v>
      </c>
      <c r="G170" s="5">
        <v>1.4031</v>
      </c>
      <c r="H170" s="5">
        <v>2.1554000000000002</v>
      </c>
      <c r="I170" s="5">
        <v>2.0078</v>
      </c>
      <c r="J170" s="5">
        <v>1.9052</v>
      </c>
      <c r="K170" s="5">
        <v>1.5422</v>
      </c>
      <c r="L170" s="5">
        <v>0.47349999999999998</v>
      </c>
      <c r="M170" s="5">
        <v>-0.12230000000000001</v>
      </c>
      <c r="N170" s="5">
        <v>-0.46039999999999998</v>
      </c>
      <c r="O170" s="5">
        <v>-6.4000000000000001E-2</v>
      </c>
      <c r="P170" s="5">
        <v>0.2429</v>
      </c>
      <c r="Q170" s="5">
        <v>0.77529999999999999</v>
      </c>
      <c r="R170" s="5">
        <v>0.90039999999999998</v>
      </c>
      <c r="S170" s="5">
        <v>0.93720000000000003</v>
      </c>
      <c r="T170" s="5">
        <v>1.1067</v>
      </c>
      <c r="U170" s="5">
        <v>1.0981000000000001</v>
      </c>
      <c r="V170" s="5">
        <v>1.6958</v>
      </c>
      <c r="W170" s="3" t="s">
        <v>63</v>
      </c>
    </row>
    <row r="171" spans="1:23" x14ac:dyDescent="0.2">
      <c r="A171" s="3" t="s">
        <v>9</v>
      </c>
      <c r="B171" s="4">
        <v>4479925</v>
      </c>
      <c r="C171" s="4">
        <v>4189994</v>
      </c>
      <c r="D171" s="4">
        <v>2675704</v>
      </c>
      <c r="E171" s="4">
        <v>3464502</v>
      </c>
      <c r="F171" s="4">
        <v>3447191</v>
      </c>
      <c r="G171" s="4">
        <v>2758287</v>
      </c>
      <c r="H171" s="4">
        <v>2144406</v>
      </c>
      <c r="I171" s="4">
        <v>1500212</v>
      </c>
      <c r="J171" s="4">
        <v>995281</v>
      </c>
      <c r="K171" s="4">
        <v>1152948</v>
      </c>
      <c r="L171" s="4">
        <v>683063</v>
      </c>
      <c r="M171" s="4">
        <v>499944</v>
      </c>
      <c r="N171" s="4">
        <v>339128</v>
      </c>
      <c r="O171" s="4">
        <v>446312</v>
      </c>
      <c r="P171" s="4">
        <v>455043</v>
      </c>
      <c r="Q171" s="4">
        <v>563529</v>
      </c>
      <c r="R171" s="4">
        <v>631289</v>
      </c>
      <c r="S171" s="4">
        <v>480986</v>
      </c>
      <c r="T171" s="4">
        <v>369824</v>
      </c>
      <c r="U171" s="4">
        <v>319168</v>
      </c>
      <c r="V171" s="4">
        <v>332509</v>
      </c>
      <c r="W171" s="3" t="s">
        <v>63</v>
      </c>
    </row>
    <row r="172" spans="1:23" x14ac:dyDescent="0.2">
      <c r="A172" s="3" t="s">
        <v>199</v>
      </c>
      <c r="B172" s="3">
        <v>186.26</v>
      </c>
      <c r="C172" s="3">
        <v>173.49</v>
      </c>
      <c r="D172" s="3">
        <v>111</v>
      </c>
      <c r="E172" s="3">
        <v>142.59</v>
      </c>
      <c r="F172" s="3">
        <v>141.5</v>
      </c>
      <c r="G172" s="3">
        <v>113.02</v>
      </c>
      <c r="H172" s="3">
        <v>87.7</v>
      </c>
      <c r="I172" s="3">
        <v>61</v>
      </c>
      <c r="J172" s="3">
        <v>40.479999999999997</v>
      </c>
      <c r="K172" s="3">
        <v>46.72</v>
      </c>
      <c r="L172" s="3">
        <v>27.73</v>
      </c>
      <c r="M172" s="3">
        <v>20.350000000000001</v>
      </c>
      <c r="N172" s="3">
        <v>13.82</v>
      </c>
      <c r="O172" s="3">
        <v>18.14</v>
      </c>
      <c r="P172" s="3">
        <v>18.52</v>
      </c>
      <c r="Q172" s="3">
        <v>22.8</v>
      </c>
      <c r="R172" s="3">
        <v>25.52</v>
      </c>
      <c r="S172" s="3">
        <v>19.46</v>
      </c>
      <c r="T172" s="3">
        <v>14.97</v>
      </c>
      <c r="U172" s="3">
        <v>12.95</v>
      </c>
      <c r="V172" s="3">
        <v>13.55</v>
      </c>
      <c r="W172" s="3" t="s">
        <v>63</v>
      </c>
    </row>
    <row r="173" spans="1:23" x14ac:dyDescent="0.2">
      <c r="A173" s="3" t="s">
        <v>19</v>
      </c>
      <c r="B173" s="3">
        <v>53.06</v>
      </c>
      <c r="C173" s="3">
        <v>48.89</v>
      </c>
      <c r="D173" s="3">
        <v>35.28</v>
      </c>
      <c r="E173" s="3">
        <v>47.93</v>
      </c>
      <c r="F173" s="3">
        <v>55.05</v>
      </c>
      <c r="G173" s="3">
        <v>52.42</v>
      </c>
      <c r="H173" s="3">
        <v>50.69</v>
      </c>
      <c r="I173" s="3">
        <v>50.65</v>
      </c>
      <c r="J173" s="3">
        <v>52.96</v>
      </c>
      <c r="K173" s="3">
        <v>111.97</v>
      </c>
      <c r="L173" s="3">
        <v>142.78</v>
      </c>
      <c r="M173" s="3">
        <v>114.74</v>
      </c>
      <c r="N173" s="3">
        <v>57.8</v>
      </c>
      <c r="O173" s="3">
        <v>58.75</v>
      </c>
      <c r="P173" s="3">
        <v>49.1</v>
      </c>
      <c r="Q173" s="3">
        <v>58.55</v>
      </c>
      <c r="R173" s="3">
        <v>77.77</v>
      </c>
      <c r="S173" s="3">
        <v>68.650000000000006</v>
      </c>
      <c r="T173" s="3">
        <v>70.150000000000006</v>
      </c>
      <c r="U173" s="3">
        <v>74.239999999999995</v>
      </c>
      <c r="V173" s="3">
        <v>87.77</v>
      </c>
      <c r="W173" s="3" t="s">
        <v>63</v>
      </c>
    </row>
    <row r="174" spans="1:23" x14ac:dyDescent="0.2">
      <c r="A174" s="3" t="s">
        <v>46</v>
      </c>
      <c r="B174" s="3">
        <v>32.64</v>
      </c>
      <c r="C174" s="3">
        <v>35.36</v>
      </c>
      <c r="D174" s="3">
        <v>26.83</v>
      </c>
      <c r="E174" s="3">
        <v>36.24</v>
      </c>
      <c r="F174" s="3">
        <v>41.66</v>
      </c>
      <c r="G174" s="3">
        <v>38.520000000000003</v>
      </c>
      <c r="H174" s="3">
        <v>35.1</v>
      </c>
      <c r="I174" s="3">
        <v>31.19</v>
      </c>
      <c r="J174" s="3">
        <v>26.95</v>
      </c>
      <c r="K174" s="3">
        <v>50.26</v>
      </c>
      <c r="L174" s="3">
        <v>61.17</v>
      </c>
      <c r="M174" s="3">
        <v>52.57</v>
      </c>
      <c r="N174" s="3">
        <v>40.130000000000003</v>
      </c>
      <c r="O174" s="3">
        <v>33.700000000000003</v>
      </c>
      <c r="P174" s="3">
        <v>32.82</v>
      </c>
      <c r="Q174" s="3">
        <v>45.52</v>
      </c>
      <c r="R174" s="3">
        <v>58.95</v>
      </c>
      <c r="S174" s="3">
        <v>48.39</v>
      </c>
      <c r="T174" s="3">
        <v>44.31</v>
      </c>
      <c r="U174" s="3">
        <v>46.48</v>
      </c>
      <c r="V174" s="3">
        <v>54.32</v>
      </c>
      <c r="W174" s="3" t="s">
        <v>63</v>
      </c>
    </row>
    <row r="175" spans="1:23" x14ac:dyDescent="0.2">
      <c r="A175" s="3" t="s">
        <v>20</v>
      </c>
      <c r="B175" s="3">
        <v>27.57</v>
      </c>
      <c r="C175" s="3">
        <v>25.62</v>
      </c>
      <c r="D175" s="3">
        <v>18.239999999999998</v>
      </c>
      <c r="E175" s="3">
        <v>26.77</v>
      </c>
      <c r="F175" s="3">
        <v>30.65</v>
      </c>
      <c r="G175" s="3">
        <v>28.85</v>
      </c>
      <c r="H175" s="3">
        <v>27.07</v>
      </c>
      <c r="I175" s="3">
        <v>24.74</v>
      </c>
      <c r="J175" s="3">
        <v>22.29</v>
      </c>
      <c r="K175" s="3">
        <v>35.380000000000003</v>
      </c>
      <c r="L175" s="3">
        <v>26.44</v>
      </c>
      <c r="M175" s="3">
        <v>18.579999999999998</v>
      </c>
      <c r="N175" s="3">
        <v>12.05</v>
      </c>
      <c r="O175" s="3">
        <v>15.29</v>
      </c>
      <c r="P175" s="3">
        <v>15.72</v>
      </c>
      <c r="Q175" s="3">
        <v>21.22</v>
      </c>
      <c r="R175" s="3">
        <v>26.29</v>
      </c>
      <c r="S175" s="3">
        <v>22.19</v>
      </c>
      <c r="T175" s="3">
        <v>19.41</v>
      </c>
      <c r="U175" s="3">
        <v>19.29</v>
      </c>
      <c r="V175" s="3">
        <v>22.72</v>
      </c>
      <c r="W175" s="3" t="s">
        <v>63</v>
      </c>
    </row>
    <row r="176" spans="1:23" x14ac:dyDescent="0.2">
      <c r="A176" s="3" t="s">
        <v>21</v>
      </c>
      <c r="B176" s="3">
        <v>45.29</v>
      </c>
      <c r="C176" s="3">
        <v>42.28</v>
      </c>
      <c r="D176" s="3">
        <v>32.31</v>
      </c>
      <c r="E176" s="3">
        <v>44.03</v>
      </c>
      <c r="F176" s="3">
        <v>52.69</v>
      </c>
      <c r="G176" s="3">
        <v>47.78</v>
      </c>
      <c r="H176" s="3">
        <v>43.94</v>
      </c>
      <c r="I176" s="3">
        <v>35.08</v>
      </c>
      <c r="J176" s="3">
        <v>30.07</v>
      </c>
      <c r="K176" s="3">
        <v>42.04</v>
      </c>
      <c r="L176" s="3">
        <v>27.91</v>
      </c>
      <c r="M176" s="3">
        <v>22.68</v>
      </c>
      <c r="N176" s="3">
        <v>16.13</v>
      </c>
      <c r="O176" s="3">
        <v>19.07</v>
      </c>
      <c r="P176" s="3">
        <v>17.649999999999999</v>
      </c>
      <c r="Q176" s="3">
        <v>21.46</v>
      </c>
      <c r="R176" s="3">
        <v>26.82</v>
      </c>
      <c r="S176" s="3">
        <v>22.98</v>
      </c>
      <c r="T176" s="3">
        <v>19.899999999999999</v>
      </c>
      <c r="U176" s="3">
        <v>19.04</v>
      </c>
      <c r="V176" s="3">
        <v>21.9</v>
      </c>
      <c r="W176" s="3" t="s">
        <v>63</v>
      </c>
    </row>
    <row r="177" spans="1:23" x14ac:dyDescent="0.2">
      <c r="A177" s="3" t="s">
        <v>369</v>
      </c>
      <c r="B177" s="3">
        <v>48.35</v>
      </c>
      <c r="C177" s="3">
        <v>45.22</v>
      </c>
      <c r="D177" s="3">
        <v>34.92</v>
      </c>
      <c r="E177" s="3">
        <v>47.63</v>
      </c>
      <c r="F177" s="3">
        <v>57.54</v>
      </c>
      <c r="G177" s="3">
        <v>52.84</v>
      </c>
      <c r="H177" s="3">
        <v>49.41</v>
      </c>
      <c r="I177" s="3">
        <v>40.270000000000003</v>
      </c>
      <c r="J177" s="3">
        <v>36.270000000000003</v>
      </c>
      <c r="K177" s="3">
        <v>53.34</v>
      </c>
      <c r="L177" s="3">
        <v>36.89</v>
      </c>
      <c r="M177" s="3">
        <v>31.22</v>
      </c>
      <c r="N177" s="3">
        <v>22.76</v>
      </c>
      <c r="O177" s="3">
        <v>26.07</v>
      </c>
      <c r="P177" s="3">
        <v>23.52</v>
      </c>
      <c r="Q177" s="3">
        <v>28.66</v>
      </c>
      <c r="R177" s="3">
        <v>37.450000000000003</v>
      </c>
      <c r="S177" s="3">
        <v>33.57</v>
      </c>
      <c r="T177" s="3">
        <v>31.22</v>
      </c>
      <c r="U177" s="3">
        <v>32.28</v>
      </c>
      <c r="V177" s="3">
        <v>40.56</v>
      </c>
      <c r="W177" s="3" t="s">
        <v>63</v>
      </c>
    </row>
    <row r="178" spans="1:23" x14ac:dyDescent="0.2">
      <c r="A178" s="3" t="s">
        <v>22</v>
      </c>
      <c r="B178" s="3">
        <v>62.84</v>
      </c>
      <c r="C178" s="3">
        <v>58.78</v>
      </c>
      <c r="D178" s="3">
        <v>37.590000000000003</v>
      </c>
      <c r="E178" s="3">
        <v>57.4</v>
      </c>
      <c r="F178" s="3">
        <v>61.4</v>
      </c>
      <c r="G178" s="3">
        <v>59.39</v>
      </c>
      <c r="H178" s="3">
        <v>54.9</v>
      </c>
      <c r="I178" s="3">
        <v>55.79</v>
      </c>
      <c r="J178" s="3">
        <v>57.11</v>
      </c>
      <c r="K178" s="3">
        <v>112</v>
      </c>
      <c r="L178" s="3">
        <v>134.16</v>
      </c>
      <c r="M178" s="3">
        <v>131.61000000000001</v>
      </c>
      <c r="N178" s="3">
        <v>71.3</v>
      </c>
      <c r="O178" s="3">
        <v>72.61</v>
      </c>
      <c r="P178" s="3">
        <v>58.59</v>
      </c>
      <c r="Q178" s="3">
        <v>70.22</v>
      </c>
      <c r="R178" s="3">
        <v>89.18</v>
      </c>
      <c r="S178" s="3">
        <v>72.91</v>
      </c>
      <c r="T178" s="3">
        <v>67.739999999999995</v>
      </c>
      <c r="U178" s="3">
        <v>68.52</v>
      </c>
      <c r="V178" s="3">
        <v>79.38</v>
      </c>
      <c r="W178" s="3" t="s">
        <v>63</v>
      </c>
    </row>
    <row r="179" spans="1:23" x14ac:dyDescent="0.2">
      <c r="A179" s="3" t="s">
        <v>23</v>
      </c>
      <c r="B179" s="3">
        <v>58.75</v>
      </c>
      <c r="C179" s="3">
        <v>54.95</v>
      </c>
      <c r="D179" s="3">
        <v>35.57</v>
      </c>
      <c r="E179" s="3">
        <v>54.5</v>
      </c>
      <c r="F179" s="3">
        <v>58.89</v>
      </c>
      <c r="G179" s="3">
        <v>57.1</v>
      </c>
      <c r="H179" s="3">
        <v>53.29</v>
      </c>
      <c r="I179" s="3">
        <v>53.67</v>
      </c>
      <c r="J179" s="3">
        <v>53.1</v>
      </c>
      <c r="K179" s="3">
        <v>97.17</v>
      </c>
      <c r="L179" s="3">
        <v>100.33</v>
      </c>
      <c r="M179" s="3">
        <v>88.85</v>
      </c>
      <c r="N179" s="3">
        <v>53.58</v>
      </c>
      <c r="O179" s="3">
        <v>60.22</v>
      </c>
      <c r="P179" s="3">
        <v>51.8</v>
      </c>
      <c r="Q179" s="3">
        <v>62.69</v>
      </c>
      <c r="R179" s="3">
        <v>78.38</v>
      </c>
      <c r="S179" s="3">
        <v>61.49</v>
      </c>
      <c r="T179" s="3">
        <v>55.06</v>
      </c>
      <c r="U179" s="3">
        <v>55.24</v>
      </c>
      <c r="V179" s="3">
        <v>64.33</v>
      </c>
      <c r="W179" s="3" t="s">
        <v>63</v>
      </c>
    </row>
    <row r="180" spans="1:23" x14ac:dyDescent="0.2">
      <c r="A180" s="3" t="s">
        <v>398</v>
      </c>
      <c r="B180" s="3">
        <v>0.91</v>
      </c>
      <c r="C180" s="3">
        <v>1.08</v>
      </c>
      <c r="D180" s="3">
        <v>0.76</v>
      </c>
      <c r="E180" s="3">
        <v>0.95</v>
      </c>
      <c r="F180" s="3">
        <v>1.0900000000000001</v>
      </c>
      <c r="G180" s="3">
        <v>1.17</v>
      </c>
      <c r="H180" s="3">
        <v>1.04</v>
      </c>
      <c r="I180" s="3">
        <v>0.74</v>
      </c>
      <c r="J180" s="3">
        <v>0.81</v>
      </c>
      <c r="K180" s="3">
        <v>1.31</v>
      </c>
      <c r="L180" s="3">
        <v>2.0299999999999998</v>
      </c>
      <c r="M180" s="3">
        <v>2.42</v>
      </c>
      <c r="N180" s="3">
        <v>1.84</v>
      </c>
      <c r="O180" s="3">
        <v>1.37</v>
      </c>
      <c r="P180" s="3">
        <v>1.29</v>
      </c>
      <c r="Q180" s="3">
        <v>1.87</v>
      </c>
      <c r="R180" s="3">
        <v>2.2799999999999998</v>
      </c>
      <c r="S180" s="3">
        <v>1.87</v>
      </c>
      <c r="T180" s="3">
        <v>2.0699999999999998</v>
      </c>
      <c r="U180" s="3">
        <v>2</v>
      </c>
      <c r="V180" s="3">
        <v>2.57</v>
      </c>
      <c r="W180" s="3" t="s">
        <v>63</v>
      </c>
    </row>
    <row r="181" spans="1:23" x14ac:dyDescent="0.2">
      <c r="A181" s="3" t="s">
        <v>24</v>
      </c>
      <c r="B181" s="3">
        <v>27.12</v>
      </c>
      <c r="C181" s="3">
        <v>25.36</v>
      </c>
      <c r="D181" s="3">
        <v>18.02</v>
      </c>
      <c r="E181" s="3">
        <v>26.55</v>
      </c>
      <c r="F181" s="3">
        <v>30.43</v>
      </c>
      <c r="G181" s="3">
        <v>28.64</v>
      </c>
      <c r="H181" s="3">
        <v>26.88</v>
      </c>
      <c r="I181" s="3">
        <v>24.63</v>
      </c>
      <c r="J181" s="3">
        <v>22.18</v>
      </c>
      <c r="K181" s="3">
        <v>35.28</v>
      </c>
      <c r="L181" s="3">
        <v>26.4</v>
      </c>
      <c r="M181" s="3">
        <v>18.53</v>
      </c>
      <c r="N181" s="3">
        <v>11.87</v>
      </c>
      <c r="O181" s="3">
        <v>15.01</v>
      </c>
      <c r="P181" s="3">
        <v>15.4</v>
      </c>
      <c r="Q181" s="3">
        <v>20.94</v>
      </c>
      <c r="R181" s="3">
        <v>26.01</v>
      </c>
      <c r="S181" s="3">
        <v>21.97</v>
      </c>
      <c r="T181" s="3">
        <v>19.21</v>
      </c>
      <c r="U181" s="3">
        <v>19.14</v>
      </c>
      <c r="V181" s="3">
        <v>22.5</v>
      </c>
      <c r="W181" s="3" t="s">
        <v>63</v>
      </c>
    </row>
    <row r="182" spans="1:23" x14ac:dyDescent="0.2">
      <c r="A182" s="3" t="s">
        <v>200</v>
      </c>
      <c r="B182" s="3">
        <v>45.58</v>
      </c>
      <c r="C182" s="3">
        <v>42.63</v>
      </c>
      <c r="D182" s="3">
        <v>30.32</v>
      </c>
      <c r="E182" s="3">
        <v>41.58</v>
      </c>
      <c r="F182" s="3">
        <v>47.39</v>
      </c>
      <c r="G182" s="3">
        <v>45.08</v>
      </c>
      <c r="H182" s="3">
        <v>43.52</v>
      </c>
      <c r="I182" s="3">
        <v>43.51</v>
      </c>
      <c r="J182" s="3">
        <v>44.91</v>
      </c>
      <c r="K182" s="3">
        <v>93.14</v>
      </c>
      <c r="L182" s="3">
        <v>112.16</v>
      </c>
      <c r="M182" s="3">
        <v>70.209999999999994</v>
      </c>
      <c r="N182" s="3">
        <v>38.9</v>
      </c>
      <c r="O182" s="3">
        <v>41.79</v>
      </c>
      <c r="P182" s="3">
        <v>36.31</v>
      </c>
      <c r="Q182" s="3">
        <v>50.25</v>
      </c>
      <c r="R182" s="3">
        <v>64.69</v>
      </c>
      <c r="S182" s="3">
        <v>56.67</v>
      </c>
      <c r="T182" s="3">
        <v>53.04</v>
      </c>
      <c r="U182" s="3">
        <v>54.85</v>
      </c>
      <c r="V182" s="3">
        <v>65.3</v>
      </c>
      <c r="W182" s="3" t="s">
        <v>63</v>
      </c>
    </row>
    <row r="183" spans="1:23" x14ac:dyDescent="0.2">
      <c r="A183" s="3" t="s">
        <v>201</v>
      </c>
      <c r="B183" s="3">
        <v>46.68</v>
      </c>
      <c r="C183" s="3">
        <v>43.66</v>
      </c>
      <c r="D183" s="3">
        <v>31.05</v>
      </c>
      <c r="E183" s="3">
        <v>42.53</v>
      </c>
      <c r="F183" s="3">
        <v>48.53</v>
      </c>
      <c r="G183" s="3">
        <v>46.29</v>
      </c>
      <c r="H183" s="3">
        <v>44.92</v>
      </c>
      <c r="I183" s="3">
        <v>45.5</v>
      </c>
      <c r="J183" s="3">
        <v>48.28</v>
      </c>
      <c r="K183" s="3">
        <v>106.77</v>
      </c>
      <c r="L183" s="3">
        <v>151.93</v>
      </c>
      <c r="M183" s="3">
        <v>89.64</v>
      </c>
      <c r="N183" s="3">
        <v>46.51</v>
      </c>
      <c r="O183" s="3">
        <v>47.68</v>
      </c>
      <c r="P183" s="3">
        <v>40.25</v>
      </c>
      <c r="Q183" s="3">
        <v>56.12</v>
      </c>
      <c r="R183" s="3">
        <v>73.36</v>
      </c>
      <c r="S183" s="3">
        <v>65.59</v>
      </c>
      <c r="T183" s="3">
        <v>64.87</v>
      </c>
      <c r="U183" s="3">
        <v>67.61</v>
      </c>
      <c r="V183" s="3">
        <v>79.62</v>
      </c>
      <c r="W183" s="3" t="s">
        <v>63</v>
      </c>
    </row>
    <row r="184" spans="1:23" x14ac:dyDescent="0.2">
      <c r="A184" s="3" t="s">
        <v>25</v>
      </c>
      <c r="B184" s="3">
        <v>62.2</v>
      </c>
      <c r="C184" s="3">
        <v>58.18</v>
      </c>
      <c r="D184" s="3">
        <v>37.130000000000003</v>
      </c>
      <c r="E184" s="3">
        <v>56.93</v>
      </c>
      <c r="F184" s="3">
        <v>60.96</v>
      </c>
      <c r="G184" s="3">
        <v>58.96</v>
      </c>
      <c r="H184" s="3">
        <v>54.52</v>
      </c>
      <c r="I184" s="3">
        <v>55.52</v>
      </c>
      <c r="J184" s="3">
        <v>56.82</v>
      </c>
      <c r="K184" s="3">
        <v>111.69</v>
      </c>
      <c r="L184" s="3">
        <v>133.91</v>
      </c>
      <c r="M184" s="3">
        <v>131.29</v>
      </c>
      <c r="N184" s="3">
        <v>70.23</v>
      </c>
      <c r="O184" s="3">
        <v>71.25</v>
      </c>
      <c r="P184" s="3">
        <v>57.41</v>
      </c>
      <c r="Q184" s="3">
        <v>69.3</v>
      </c>
      <c r="R184" s="3">
        <v>88.22</v>
      </c>
      <c r="S184" s="3">
        <v>72.17</v>
      </c>
      <c r="T184" s="3">
        <v>67.05</v>
      </c>
      <c r="U184" s="3">
        <v>68</v>
      </c>
      <c r="V184" s="3">
        <v>78.61</v>
      </c>
      <c r="W184" s="3" t="s">
        <v>63</v>
      </c>
    </row>
    <row r="185" spans="1:23" x14ac:dyDescent="0.2">
      <c r="A185" s="3" t="s">
        <v>171</v>
      </c>
      <c r="B185" s="3">
        <v>0.11</v>
      </c>
      <c r="C185" s="3">
        <v>0.11</v>
      </c>
      <c r="D185" s="3">
        <v>0.12</v>
      </c>
      <c r="E185" s="3">
        <v>0.13</v>
      </c>
      <c r="F185" s="3">
        <v>0.16</v>
      </c>
      <c r="G185" s="3">
        <v>0.17</v>
      </c>
      <c r="H185" s="3">
        <v>0.23</v>
      </c>
      <c r="I185" s="3">
        <v>0.26</v>
      </c>
      <c r="J185" s="3">
        <v>0.33</v>
      </c>
      <c r="K185" s="3">
        <v>0.4</v>
      </c>
      <c r="L185" s="3">
        <v>0.49</v>
      </c>
      <c r="M185" s="3">
        <v>0.54</v>
      </c>
      <c r="N185" s="3">
        <v>0.56000000000000005</v>
      </c>
      <c r="O185" s="3">
        <v>0.5</v>
      </c>
      <c r="P185" s="3">
        <v>0.45</v>
      </c>
      <c r="Q185" s="3">
        <v>0.45</v>
      </c>
      <c r="R185" s="3">
        <v>0.5</v>
      </c>
      <c r="S185" s="3">
        <v>0.61</v>
      </c>
      <c r="T185" s="3">
        <v>0.41</v>
      </c>
      <c r="U185" s="3">
        <v>0.45</v>
      </c>
      <c r="V185" s="3">
        <v>0.5</v>
      </c>
      <c r="W185" s="3" t="s">
        <v>63</v>
      </c>
    </row>
    <row r="186" spans="1:23" x14ac:dyDescent="0.2">
      <c r="A186" s="3" t="s">
        <v>172</v>
      </c>
      <c r="B186" s="3">
        <v>0.11</v>
      </c>
      <c r="C186" s="3">
        <v>0.11</v>
      </c>
      <c r="D186" s="3">
        <v>0.12</v>
      </c>
      <c r="E186" s="3">
        <v>0.12</v>
      </c>
      <c r="F186" s="3">
        <v>0.14000000000000001</v>
      </c>
      <c r="G186" s="3">
        <v>0.16</v>
      </c>
      <c r="H186" s="3">
        <v>0.23</v>
      </c>
      <c r="I186" s="3">
        <v>0.32</v>
      </c>
      <c r="J186" s="3">
        <v>0.49</v>
      </c>
      <c r="K186" s="3">
        <v>0.87</v>
      </c>
      <c r="L186" s="3">
        <v>1.92</v>
      </c>
      <c r="M186" s="3">
        <v>1.64</v>
      </c>
      <c r="N186" s="3">
        <v>1.34</v>
      </c>
      <c r="O186" s="3">
        <v>1.0900000000000001</v>
      </c>
      <c r="P186" s="3">
        <v>0.93</v>
      </c>
      <c r="Q186" s="3">
        <v>1.04</v>
      </c>
      <c r="R186" s="3">
        <v>1.19</v>
      </c>
      <c r="S186" s="3">
        <v>1.48</v>
      </c>
      <c r="T186" s="3">
        <v>1.0900000000000001</v>
      </c>
      <c r="U186" s="3">
        <v>1.27</v>
      </c>
      <c r="V186" s="3">
        <v>1.47</v>
      </c>
      <c r="W186" s="3" t="s">
        <v>63</v>
      </c>
    </row>
    <row r="187" spans="1:23" x14ac:dyDescent="0.2">
      <c r="A187" s="3" t="s">
        <v>202</v>
      </c>
      <c r="B187" s="3">
        <v>0.15</v>
      </c>
      <c r="C187" s="3">
        <v>0.15</v>
      </c>
      <c r="D187" s="3">
        <v>0.14000000000000001</v>
      </c>
      <c r="E187" s="3">
        <v>0.17</v>
      </c>
      <c r="F187" s="3">
        <v>0.18</v>
      </c>
      <c r="G187" s="3">
        <v>0.21</v>
      </c>
      <c r="H187" s="3">
        <v>0.28999999999999998</v>
      </c>
      <c r="I187" s="3">
        <v>0.41</v>
      </c>
      <c r="J187" s="3">
        <v>0.63</v>
      </c>
      <c r="K187" s="3">
        <v>1.06</v>
      </c>
      <c r="L187" s="3">
        <v>2.37</v>
      </c>
      <c r="M187" s="3">
        <v>3.16</v>
      </c>
      <c r="N187" s="3">
        <v>2.4700000000000002</v>
      </c>
      <c r="O187" s="3">
        <v>1.89</v>
      </c>
      <c r="P187" s="3">
        <v>1.5</v>
      </c>
      <c r="Q187" s="3">
        <v>1.46</v>
      </c>
      <c r="R187" s="3">
        <v>1.65</v>
      </c>
      <c r="S187" s="3">
        <v>1.92</v>
      </c>
      <c r="T187" s="3">
        <v>1.4</v>
      </c>
      <c r="U187" s="3">
        <v>1.62</v>
      </c>
      <c r="V187" s="3">
        <v>1.82</v>
      </c>
      <c r="W187" s="3" t="s">
        <v>63</v>
      </c>
    </row>
    <row r="188" spans="1:23" x14ac:dyDescent="0.2">
      <c r="A188" s="3" t="s">
        <v>173</v>
      </c>
      <c r="B188" s="3">
        <v>1.46</v>
      </c>
      <c r="C188" s="3">
        <v>1.46</v>
      </c>
      <c r="D188" s="3">
        <v>1.47</v>
      </c>
      <c r="E188" s="3">
        <v>1.47</v>
      </c>
      <c r="F188" s="3">
        <v>1.51</v>
      </c>
      <c r="G188" s="3">
        <v>1.43</v>
      </c>
      <c r="H188" s="3">
        <v>1.31</v>
      </c>
      <c r="I188" s="3">
        <v>1.1399999999999999</v>
      </c>
      <c r="J188" s="3">
        <v>0.95</v>
      </c>
      <c r="K188" s="3">
        <v>0.7</v>
      </c>
      <c r="L188" s="3">
        <v>0.57999999999999996</v>
      </c>
      <c r="M188" s="3">
        <v>0.63</v>
      </c>
      <c r="N188" s="3">
        <v>0.7</v>
      </c>
      <c r="O188" s="3">
        <v>0.72</v>
      </c>
      <c r="P188" s="3">
        <v>0.78</v>
      </c>
      <c r="Q188" s="3">
        <v>0.74</v>
      </c>
      <c r="R188" s="3">
        <v>0.72</v>
      </c>
      <c r="S188" s="3">
        <v>0.69</v>
      </c>
      <c r="T188" s="3">
        <v>0.71</v>
      </c>
      <c r="U188" s="3">
        <v>0.72</v>
      </c>
      <c r="V188" s="3">
        <v>0.69</v>
      </c>
      <c r="W188" s="3" t="s">
        <v>63</v>
      </c>
    </row>
    <row r="189" spans="1:23" x14ac:dyDescent="0.2">
      <c r="A189" s="3" t="s">
        <v>174</v>
      </c>
      <c r="B189" s="3">
        <v>4.6100000000000003</v>
      </c>
      <c r="C189" s="3">
        <v>4.6100000000000003</v>
      </c>
      <c r="D189" s="3">
        <v>4.33</v>
      </c>
      <c r="E189" s="3">
        <v>4.25</v>
      </c>
      <c r="F189" s="3">
        <v>4.4000000000000004</v>
      </c>
      <c r="G189" s="3">
        <v>4.21</v>
      </c>
      <c r="H189" s="3">
        <v>2.86</v>
      </c>
      <c r="I189" s="3">
        <v>3.18</v>
      </c>
      <c r="J189" s="3">
        <v>2.93</v>
      </c>
      <c r="K189" s="3">
        <v>2.82</v>
      </c>
      <c r="L189" s="3">
        <v>2.91</v>
      </c>
      <c r="M189" s="3">
        <v>2.99</v>
      </c>
      <c r="N189" s="3">
        <v>3.6</v>
      </c>
      <c r="O189" s="3">
        <v>3.92</v>
      </c>
      <c r="P189" s="3">
        <v>3.98</v>
      </c>
      <c r="Q189" s="3">
        <v>4.26</v>
      </c>
      <c r="R189" s="3">
        <v>4.6399999999999997</v>
      </c>
      <c r="S189" s="3">
        <v>4.5199999999999996</v>
      </c>
      <c r="T189" s="3">
        <v>4.54</v>
      </c>
      <c r="U189" s="3">
        <v>4.3600000000000003</v>
      </c>
      <c r="V189" s="3">
        <v>4.22</v>
      </c>
      <c r="W189" s="3" t="s">
        <v>63</v>
      </c>
    </row>
    <row r="190" spans="1:23" x14ac:dyDescent="0.2">
      <c r="A190" s="3" t="s">
        <v>8</v>
      </c>
      <c r="B190" s="3">
        <v>3.49</v>
      </c>
      <c r="C190" s="3">
        <v>3.49</v>
      </c>
      <c r="D190" s="3">
        <v>2.86</v>
      </c>
      <c r="E190" s="3">
        <v>3.67</v>
      </c>
      <c r="F190" s="3">
        <v>3.41</v>
      </c>
      <c r="G190" s="3">
        <v>3.5</v>
      </c>
      <c r="H190" s="3">
        <v>2.88</v>
      </c>
      <c r="I190" s="3">
        <v>3.39</v>
      </c>
      <c r="J190" s="3">
        <v>2.92</v>
      </c>
      <c r="K190" s="3">
        <v>2.23</v>
      </c>
      <c r="L190" s="3">
        <v>2.67</v>
      </c>
      <c r="M190" s="3">
        <v>2.61</v>
      </c>
      <c r="N190" s="3">
        <v>2.63</v>
      </c>
      <c r="O190" s="3">
        <v>2.95</v>
      </c>
      <c r="P190" s="3">
        <v>4.63</v>
      </c>
      <c r="Q190" s="3">
        <v>5.97</v>
      </c>
      <c r="R190" s="3">
        <v>6.44</v>
      </c>
      <c r="S190" s="3">
        <v>5.23</v>
      </c>
      <c r="T190" s="3">
        <v>3.92</v>
      </c>
      <c r="U190" s="3">
        <v>3.56</v>
      </c>
      <c r="V190" s="3">
        <v>3.46</v>
      </c>
      <c r="W190" s="3" t="s">
        <v>63</v>
      </c>
    </row>
    <row r="191" spans="1:23" x14ac:dyDescent="0.2">
      <c r="A191" s="3" t="s">
        <v>5</v>
      </c>
      <c r="B191" s="3">
        <v>4.21</v>
      </c>
      <c r="C191" s="3">
        <v>4.21</v>
      </c>
      <c r="D191" s="3">
        <v>3.39</v>
      </c>
      <c r="E191" s="3">
        <v>4.4400000000000004</v>
      </c>
      <c r="F191" s="3">
        <v>4.1100000000000003</v>
      </c>
      <c r="G191" s="3">
        <v>4.2699999999999996</v>
      </c>
      <c r="H191" s="3">
        <v>3.53</v>
      </c>
      <c r="I191" s="3">
        <v>4.17</v>
      </c>
      <c r="J191" s="3">
        <v>3.59</v>
      </c>
      <c r="K191" s="3">
        <v>2.79</v>
      </c>
      <c r="L191" s="3">
        <v>3.43</v>
      </c>
      <c r="M191" s="3">
        <v>3.52</v>
      </c>
      <c r="N191" s="3">
        <v>3.39</v>
      </c>
      <c r="O191" s="3">
        <v>3.62</v>
      </c>
      <c r="P191" s="3">
        <v>5.32</v>
      </c>
      <c r="Q191" s="3">
        <v>6.65</v>
      </c>
      <c r="R191" s="3">
        <v>7.15</v>
      </c>
      <c r="S191" s="3">
        <v>5.8</v>
      </c>
      <c r="T191" s="3">
        <v>4.53</v>
      </c>
      <c r="U191" s="3">
        <v>4.09</v>
      </c>
      <c r="V191" s="3">
        <v>3.92</v>
      </c>
      <c r="W191" s="3" t="s">
        <v>63</v>
      </c>
    </row>
    <row r="192" spans="1:23" x14ac:dyDescent="0.2">
      <c r="A192" s="3" t="s">
        <v>26</v>
      </c>
      <c r="B192" s="5">
        <v>1.0942000000000001</v>
      </c>
      <c r="C192" s="5">
        <v>1.0942000000000001</v>
      </c>
      <c r="D192" s="5">
        <v>1.1546000000000001</v>
      </c>
      <c r="E192" s="5">
        <v>1.1918</v>
      </c>
      <c r="F192" s="5">
        <v>1.2721</v>
      </c>
      <c r="G192" s="5">
        <v>1.2377</v>
      </c>
      <c r="H192" s="5">
        <v>1.1566000000000001</v>
      </c>
      <c r="I192" s="5">
        <v>0.91459999999999997</v>
      </c>
      <c r="J192" s="5">
        <v>0.69169999999999998</v>
      </c>
      <c r="K192" s="5">
        <v>0.4022</v>
      </c>
      <c r="L192" s="5">
        <v>0.18859999999999999</v>
      </c>
      <c r="M192" s="5">
        <v>0.17929999999999999</v>
      </c>
      <c r="N192" s="5">
        <v>0.26390000000000002</v>
      </c>
      <c r="O192" s="5">
        <v>0.34410000000000002</v>
      </c>
      <c r="P192" s="5">
        <v>0.41949999999999998</v>
      </c>
      <c r="Q192" s="5">
        <v>0.44829999999999998</v>
      </c>
      <c r="R192" s="5">
        <v>0.4194</v>
      </c>
      <c r="S192" s="5">
        <v>0.40379999999999999</v>
      </c>
      <c r="T192" s="5">
        <v>0.33429999999999999</v>
      </c>
      <c r="U192" s="5">
        <v>0.29780000000000001</v>
      </c>
      <c r="V192" s="5">
        <v>0.28820000000000001</v>
      </c>
      <c r="W192" s="3" t="s">
        <v>63</v>
      </c>
    </row>
    <row r="193" spans="1:23" x14ac:dyDescent="0.2">
      <c r="A193" s="3" t="s">
        <v>27</v>
      </c>
      <c r="B193" s="5">
        <v>0.53090000000000004</v>
      </c>
      <c r="C193" s="5">
        <v>0.53090000000000004</v>
      </c>
      <c r="D193" s="5">
        <v>0.53239999999999998</v>
      </c>
      <c r="E193" s="5">
        <v>0.57420000000000004</v>
      </c>
      <c r="F193" s="5">
        <v>0.59130000000000005</v>
      </c>
      <c r="G193" s="5">
        <v>0.55259999999999998</v>
      </c>
      <c r="H193" s="5">
        <v>0.49099999999999999</v>
      </c>
      <c r="I193" s="5">
        <v>0.38550000000000001</v>
      </c>
      <c r="J193" s="5">
        <v>0.27229999999999999</v>
      </c>
      <c r="K193" s="5">
        <v>0.14510000000000001</v>
      </c>
      <c r="L193" s="5">
        <v>6.2700000000000006E-2</v>
      </c>
      <c r="M193" s="5">
        <v>8.1699999999999995E-2</v>
      </c>
      <c r="N193" s="5">
        <v>0.1124</v>
      </c>
      <c r="O193" s="5">
        <v>0.14249999999999999</v>
      </c>
      <c r="P193" s="5">
        <v>0.18590000000000001</v>
      </c>
      <c r="Q193" s="5">
        <v>0.17199999999999999</v>
      </c>
      <c r="R193" s="5">
        <v>0.1593</v>
      </c>
      <c r="S193" s="5">
        <v>0.14360000000000001</v>
      </c>
      <c r="T193" s="5">
        <v>0.1318</v>
      </c>
      <c r="U193" s="5">
        <v>0.128</v>
      </c>
      <c r="V193" s="5">
        <v>0.12230000000000001</v>
      </c>
      <c r="W193" s="3" t="s">
        <v>63</v>
      </c>
    </row>
    <row r="194" spans="1:23" ht="18" customHeight="1" x14ac:dyDescent="0.2">
      <c r="A194" s="3" t="s">
        <v>28</v>
      </c>
      <c r="B194" s="5">
        <v>0.67059999999999997</v>
      </c>
      <c r="C194" s="5">
        <v>0.67059999999999997</v>
      </c>
      <c r="D194" s="5">
        <v>0.69720000000000004</v>
      </c>
      <c r="E194" s="5">
        <v>0.70889999999999997</v>
      </c>
      <c r="F194" s="5">
        <v>0.73740000000000006</v>
      </c>
      <c r="G194" s="5">
        <v>0.69850000000000001</v>
      </c>
      <c r="H194" s="5">
        <v>0.61529999999999996</v>
      </c>
      <c r="I194" s="5">
        <v>0.46750000000000003</v>
      </c>
      <c r="J194" s="5">
        <v>0.33229999999999998</v>
      </c>
      <c r="K194" s="5">
        <v>0.182</v>
      </c>
      <c r="L194" s="5">
        <v>7.5200000000000003E-2</v>
      </c>
      <c r="M194" s="5">
        <v>9.6100000000000005E-2</v>
      </c>
      <c r="N194" s="5">
        <v>0.1323</v>
      </c>
      <c r="O194" s="5">
        <v>0.1681</v>
      </c>
      <c r="P194" s="5">
        <v>0.2185</v>
      </c>
      <c r="Q194" s="5">
        <v>0.19939999999999999</v>
      </c>
      <c r="R194" s="5">
        <v>0.18340000000000001</v>
      </c>
      <c r="S194" s="5">
        <v>0.16500000000000001</v>
      </c>
      <c r="T194" s="5">
        <v>0.151</v>
      </c>
      <c r="U194" s="5">
        <v>0.15</v>
      </c>
      <c r="V194" s="5">
        <v>0.1419</v>
      </c>
      <c r="W194" s="3" t="s">
        <v>63</v>
      </c>
    </row>
    <row r="195" spans="1:23" x14ac:dyDescent="0.2">
      <c r="A195" s="3" t="s">
        <v>29</v>
      </c>
      <c r="B195" s="5">
        <v>0.82399999999999995</v>
      </c>
      <c r="C195" s="5">
        <v>0.82399999999999995</v>
      </c>
      <c r="D195" s="5">
        <v>0.873</v>
      </c>
      <c r="E195" s="5">
        <v>0.871</v>
      </c>
      <c r="F195" s="5">
        <v>0.89300000000000002</v>
      </c>
      <c r="G195" s="5">
        <v>0.83599999999999997</v>
      </c>
      <c r="H195" s="5">
        <v>0.77200000000000002</v>
      </c>
      <c r="I195" s="5">
        <v>0.59799999999999998</v>
      </c>
      <c r="J195" s="5">
        <v>0.45800000000000002</v>
      </c>
      <c r="K195" s="5">
        <v>0.27500000000000002</v>
      </c>
      <c r="L195" s="5">
        <v>0.121</v>
      </c>
      <c r="M195" s="5">
        <v>0.161</v>
      </c>
      <c r="N195" s="5">
        <v>0.217</v>
      </c>
      <c r="O195" s="5">
        <v>0.26100000000000001</v>
      </c>
      <c r="P195" s="5">
        <v>0.28499999999999998</v>
      </c>
      <c r="Q195" s="5">
        <v>0.252</v>
      </c>
      <c r="R195" s="5">
        <v>0.23200000000000001</v>
      </c>
      <c r="S195" s="5">
        <v>0.214</v>
      </c>
      <c r="T195" s="5">
        <v>0.21299999999999999</v>
      </c>
      <c r="U195" s="5">
        <v>0.19</v>
      </c>
      <c r="V195" s="5">
        <v>0.18</v>
      </c>
      <c r="W195" s="3" t="s">
        <v>63</v>
      </c>
    </row>
    <row r="196" spans="1:23" x14ac:dyDescent="0.2">
      <c r="A196" s="3" t="s">
        <v>30</v>
      </c>
      <c r="B196" s="5">
        <v>1.9099999999999999E-2</v>
      </c>
      <c r="C196" s="5">
        <v>2.0500000000000001E-2</v>
      </c>
      <c r="D196" s="5">
        <v>2.8299999999999999E-2</v>
      </c>
      <c r="E196" s="5">
        <v>2.0899999999999998E-2</v>
      </c>
      <c r="F196" s="5">
        <v>1.8200000000000001E-2</v>
      </c>
      <c r="G196" s="5">
        <v>1.9099999999999999E-2</v>
      </c>
      <c r="H196" s="5">
        <v>1.9699999999999999E-2</v>
      </c>
      <c r="I196" s="5">
        <v>1.9699999999999999E-2</v>
      </c>
      <c r="J196" s="5">
        <v>1.89E-2</v>
      </c>
      <c r="K196" s="5">
        <v>8.8999999999999999E-3</v>
      </c>
      <c r="L196" s="5">
        <v>7.0000000000000001E-3</v>
      </c>
      <c r="M196" s="5">
        <v>8.6999999999999994E-3</v>
      </c>
      <c r="N196" s="5">
        <v>1.7299999999999999E-2</v>
      </c>
      <c r="O196" s="5">
        <v>1.7000000000000001E-2</v>
      </c>
      <c r="P196" s="5">
        <v>2.0400000000000001E-2</v>
      </c>
      <c r="Q196" s="5">
        <v>1.7100000000000001E-2</v>
      </c>
      <c r="R196" s="5">
        <v>1.29E-2</v>
      </c>
      <c r="S196" s="5">
        <v>1.46E-2</v>
      </c>
      <c r="T196" s="5">
        <v>1.43E-2</v>
      </c>
      <c r="U196" s="5">
        <v>1.35E-2</v>
      </c>
      <c r="V196" s="5">
        <v>1.14E-2</v>
      </c>
      <c r="W196" s="3" t="s">
        <v>63</v>
      </c>
    </row>
    <row r="197" spans="1:23" x14ac:dyDescent="0.2">
      <c r="A197" s="3" t="s">
        <v>31</v>
      </c>
      <c r="B197" s="5">
        <v>1.5900000000000001E-2</v>
      </c>
      <c r="C197" s="5">
        <v>1.7000000000000001E-2</v>
      </c>
      <c r="D197" s="5">
        <v>2.6599999999999999E-2</v>
      </c>
      <c r="E197" s="5">
        <v>1.7399999999999999E-2</v>
      </c>
      <c r="F197" s="5">
        <v>1.6299999999999999E-2</v>
      </c>
      <c r="G197" s="5">
        <v>1.6799999999999999E-2</v>
      </c>
      <c r="H197" s="5">
        <v>1.8200000000000001E-2</v>
      </c>
      <c r="I197" s="5">
        <v>1.7899999999999999E-2</v>
      </c>
      <c r="J197" s="5">
        <v>1.7500000000000002E-2</v>
      </c>
      <c r="K197" s="5">
        <v>8.8999999999999999E-3</v>
      </c>
      <c r="L197" s="5">
        <v>7.4000000000000003E-3</v>
      </c>
      <c r="M197" s="5">
        <v>7.6E-3</v>
      </c>
      <c r="N197" s="5">
        <v>1.4E-2</v>
      </c>
      <c r="O197" s="5">
        <v>1.38E-2</v>
      </c>
      <c r="P197" s="5">
        <v>1.7100000000000001E-2</v>
      </c>
      <c r="Q197" s="5">
        <v>1.4200000000000001E-2</v>
      </c>
      <c r="R197" s="5">
        <v>1.12E-2</v>
      </c>
      <c r="S197" s="5">
        <v>1.37E-2</v>
      </c>
      <c r="T197" s="5">
        <v>1.4800000000000001E-2</v>
      </c>
      <c r="U197" s="5">
        <v>1.46E-2</v>
      </c>
      <c r="V197" s="5">
        <v>1.26E-2</v>
      </c>
      <c r="W197" s="3" t="s">
        <v>63</v>
      </c>
    </row>
    <row r="198" spans="1:23" x14ac:dyDescent="0.2">
      <c r="A198" s="3" t="s">
        <v>399</v>
      </c>
      <c r="B198" s="5">
        <v>2.0000000000000001E-4</v>
      </c>
      <c r="C198" s="5">
        <v>2.0000000000000001E-4</v>
      </c>
      <c r="D198" s="5">
        <v>4.0000000000000002E-4</v>
      </c>
      <c r="E198" s="5">
        <v>2.0000000000000001E-4</v>
      </c>
      <c r="F198" s="5">
        <v>2.0000000000000001E-4</v>
      </c>
      <c r="G198" s="5">
        <v>2.0000000000000001E-4</v>
      </c>
      <c r="H198" s="5">
        <v>2.0000000000000001E-4</v>
      </c>
      <c r="I198" s="5">
        <v>2.9999999999999997E-4</v>
      </c>
      <c r="J198" s="5">
        <v>4.0000000000000002E-4</v>
      </c>
      <c r="K198" s="5">
        <v>2.9999999999999997E-4</v>
      </c>
      <c r="L198" s="5">
        <v>5.9999999999999995E-4</v>
      </c>
      <c r="M198" s="5">
        <v>8.0000000000000004E-4</v>
      </c>
      <c r="N198" s="5">
        <v>1.1999999999999999E-3</v>
      </c>
      <c r="O198" s="5">
        <v>8.9999999999999998E-4</v>
      </c>
      <c r="P198" s="5">
        <v>8.9999999999999998E-4</v>
      </c>
      <c r="Q198" s="5">
        <v>6.9999999999999999E-4</v>
      </c>
      <c r="R198" s="5">
        <v>5.9999999999999995E-4</v>
      </c>
      <c r="S198" s="5">
        <v>8.0000000000000004E-4</v>
      </c>
      <c r="T198" s="5">
        <v>1.1000000000000001E-3</v>
      </c>
      <c r="U198" s="5">
        <v>1.1999999999999999E-3</v>
      </c>
      <c r="V198" s="5">
        <v>1.1999999999999999E-3</v>
      </c>
      <c r="W198" s="3" t="s">
        <v>63</v>
      </c>
    </row>
    <row r="199" spans="1:23" x14ac:dyDescent="0.2">
      <c r="A199" s="3" t="s">
        <v>400</v>
      </c>
      <c r="B199" s="5">
        <v>1.14E-2</v>
      </c>
      <c r="C199" s="5">
        <v>1.1299999999999999E-2</v>
      </c>
      <c r="D199" s="5">
        <v>1.2800000000000001E-2</v>
      </c>
      <c r="E199" s="5">
        <v>1.14E-2</v>
      </c>
      <c r="F199" s="5">
        <v>1.09E-2</v>
      </c>
      <c r="G199" s="5">
        <v>1.0200000000000001E-2</v>
      </c>
      <c r="H199" s="5">
        <v>9.1999999999999998E-3</v>
      </c>
      <c r="I199" s="5">
        <v>1.3299999999999999E-2</v>
      </c>
      <c r="J199" s="5">
        <v>2.0899999999999998E-2</v>
      </c>
      <c r="K199" s="5">
        <v>3.8399999999999997E-2</v>
      </c>
      <c r="L199" s="5">
        <v>8.2799999999999999E-2</v>
      </c>
      <c r="M199" s="5">
        <v>9.11E-2</v>
      </c>
      <c r="N199" s="5">
        <v>6.7299999999999999E-2</v>
      </c>
      <c r="O199" s="5">
        <v>5.1799999999999999E-2</v>
      </c>
      <c r="P199" s="5">
        <v>4.2299999999999997E-2</v>
      </c>
      <c r="Q199" s="5">
        <v>4.0899999999999999E-2</v>
      </c>
      <c r="R199" s="5">
        <v>4.8399999999999999E-2</v>
      </c>
      <c r="S199" s="5">
        <v>5.5899999999999998E-2</v>
      </c>
      <c r="T199" s="5">
        <v>7.4300000000000005E-2</v>
      </c>
      <c r="U199" s="5">
        <v>9.1200000000000003E-2</v>
      </c>
      <c r="V199" s="5">
        <v>0.10299999999999999</v>
      </c>
      <c r="W199" s="3" t="s">
        <v>63</v>
      </c>
    </row>
    <row r="200" spans="1:23" x14ac:dyDescent="0.2">
      <c r="A200" s="3" t="s">
        <v>203</v>
      </c>
      <c r="B200" s="5">
        <v>9.9000000000000008E-3</v>
      </c>
      <c r="C200" s="5">
        <v>9.9000000000000008E-3</v>
      </c>
      <c r="D200" s="5">
        <v>8.0999999999999996E-3</v>
      </c>
      <c r="E200" s="5">
        <v>5.4999999999999997E-3</v>
      </c>
      <c r="F200" s="5">
        <v>1.4E-3</v>
      </c>
      <c r="G200" s="5">
        <v>5.0000000000000001E-4</v>
      </c>
      <c r="H200" s="5">
        <v>5.9999999999999995E-4</v>
      </c>
      <c r="I200" s="5">
        <v>5.1999999999999998E-3</v>
      </c>
      <c r="J200" s="5">
        <v>1.35E-2</v>
      </c>
      <c r="K200" s="5">
        <v>1.66E-2</v>
      </c>
      <c r="L200" s="5">
        <v>1.6500000000000001E-2</v>
      </c>
      <c r="M200" s="5">
        <v>1.0999999999999999E-2</v>
      </c>
      <c r="N200" s="5">
        <v>2.8999999999999998E-3</v>
      </c>
      <c r="O200" s="5">
        <v>-2.8E-3</v>
      </c>
      <c r="P200" s="5">
        <v>-6.8999999999999999E-3</v>
      </c>
      <c r="Q200" s="5">
        <v>-0.01</v>
      </c>
      <c r="R200" s="5">
        <v>-1.2800000000000001E-2</v>
      </c>
      <c r="S200" s="5">
        <v>-1.55E-2</v>
      </c>
      <c r="T200" s="5">
        <v>-1.7000000000000001E-2</v>
      </c>
      <c r="U200" s="5">
        <v>-1.54E-2</v>
      </c>
      <c r="V200" s="5">
        <v>-1.0500000000000001E-2</v>
      </c>
      <c r="W200" s="3" t="s">
        <v>63</v>
      </c>
    </row>
    <row r="201" spans="1:23" x14ac:dyDescent="0.2">
      <c r="A201" s="3" t="s">
        <v>453</v>
      </c>
      <c r="B201" s="5">
        <v>1.01E-2</v>
      </c>
      <c r="C201" s="5">
        <v>1.01E-2</v>
      </c>
      <c r="D201" s="5">
        <v>8.5000000000000006E-3</v>
      </c>
      <c r="E201" s="5">
        <v>5.7000000000000002E-3</v>
      </c>
      <c r="F201" s="5">
        <v>1.6000000000000001E-3</v>
      </c>
      <c r="G201" s="5">
        <v>6.9999999999999999E-4</v>
      </c>
      <c r="H201" s="5">
        <v>8.0000000000000004E-4</v>
      </c>
      <c r="I201" s="5">
        <v>5.4999999999999997E-3</v>
      </c>
      <c r="J201" s="5">
        <v>1.3899999999999999E-2</v>
      </c>
      <c r="K201" s="5">
        <v>1.7000000000000001E-2</v>
      </c>
      <c r="L201" s="5">
        <v>1.7100000000000001E-2</v>
      </c>
      <c r="M201" s="5">
        <v>1.18E-2</v>
      </c>
      <c r="N201" s="5">
        <v>4.0000000000000001E-3</v>
      </c>
      <c r="O201" s="5">
        <v>-1.9E-3</v>
      </c>
      <c r="P201" s="5">
        <v>-6.0000000000000001E-3</v>
      </c>
      <c r="Q201" s="5">
        <v>-9.2999999999999992E-3</v>
      </c>
      <c r="R201" s="5">
        <v>-1.2200000000000001E-2</v>
      </c>
      <c r="S201" s="5">
        <v>-1.47E-2</v>
      </c>
      <c r="T201" s="5">
        <v>-1.5900000000000001E-2</v>
      </c>
      <c r="U201" s="5">
        <v>-1.41E-2</v>
      </c>
      <c r="V201" s="5">
        <v>-9.2999999999999992E-3</v>
      </c>
      <c r="W201" s="3" t="s">
        <v>63</v>
      </c>
    </row>
  </sheetData>
  <hyperlinks>
    <hyperlink ref="A7" r:id="rId1" display="file:///stocks/nvda/revenue" xr:uid="{0882DC08-A60E-E840-874D-C8920407EF5D}"/>
    <hyperlink ref="A169" r:id="rId2" display="file:///stocks/nvda/market-cap" xr:uid="{7608863F-02E5-2044-9DC9-71B867CBC5A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378</vt:i4>
      </vt:variant>
    </vt:vector>
  </HeadingPairs>
  <TitlesOfParts>
    <vt:vector size="385" baseType="lpstr">
      <vt:lpstr>Tracker</vt:lpstr>
      <vt:lpstr>HBook</vt:lpstr>
      <vt:lpstr>QBook</vt:lpstr>
      <vt:lpstr>Statistics</vt:lpstr>
      <vt:lpstr>HData</vt:lpstr>
      <vt:lpstr>QData</vt:lpstr>
      <vt:lpstr>12QData</vt:lpstr>
      <vt:lpstr>QData!BalanceSheet</vt:lpstr>
      <vt:lpstr>QData!CashFlow</vt:lpstr>
      <vt:lpstr>'12QData'!ExternalData_1</vt:lpstr>
      <vt:lpstr>HData!ExternalData_1</vt:lpstr>
      <vt:lpstr>QData!ExternalData_1</vt:lpstr>
      <vt:lpstr>Statistics!ExternalData_1</vt:lpstr>
      <vt:lpstr>'12QData'!ExternalData_10</vt:lpstr>
      <vt:lpstr>HData!ExternalData_10</vt:lpstr>
      <vt:lpstr>Statistics!ExternalData_10</vt:lpstr>
      <vt:lpstr>'12QData'!ExternalData_100</vt:lpstr>
      <vt:lpstr>HData!ExternalData_100</vt:lpstr>
      <vt:lpstr>'12QData'!ExternalData_101</vt:lpstr>
      <vt:lpstr>HData!ExternalData_101</vt:lpstr>
      <vt:lpstr>'12QData'!ExternalData_102</vt:lpstr>
      <vt:lpstr>HData!ExternalData_102</vt:lpstr>
      <vt:lpstr>'12QData'!ExternalData_103</vt:lpstr>
      <vt:lpstr>HData!ExternalData_103</vt:lpstr>
      <vt:lpstr>'12QData'!ExternalData_104</vt:lpstr>
      <vt:lpstr>HData!ExternalData_104</vt:lpstr>
      <vt:lpstr>'12QData'!ExternalData_105</vt:lpstr>
      <vt:lpstr>HData!ExternalData_105</vt:lpstr>
      <vt:lpstr>'12QData'!ExternalData_106</vt:lpstr>
      <vt:lpstr>HData!ExternalData_106</vt:lpstr>
      <vt:lpstr>'12QData'!ExternalData_107</vt:lpstr>
      <vt:lpstr>HData!ExternalData_107</vt:lpstr>
      <vt:lpstr>'12QData'!ExternalData_108</vt:lpstr>
      <vt:lpstr>HData!ExternalData_108</vt:lpstr>
      <vt:lpstr>'12QData'!ExternalData_109</vt:lpstr>
      <vt:lpstr>HData!ExternalData_109</vt:lpstr>
      <vt:lpstr>'12QData'!ExternalData_11</vt:lpstr>
      <vt:lpstr>HData!ExternalData_11</vt:lpstr>
      <vt:lpstr>Statistics!ExternalData_11</vt:lpstr>
      <vt:lpstr>'12QData'!ExternalData_110</vt:lpstr>
      <vt:lpstr>'12QData'!ExternalData_111</vt:lpstr>
      <vt:lpstr>'12QData'!ExternalData_112</vt:lpstr>
      <vt:lpstr>'12QData'!ExternalData_113</vt:lpstr>
      <vt:lpstr>'12QData'!ExternalData_114</vt:lpstr>
      <vt:lpstr>'12QData'!ExternalData_115</vt:lpstr>
      <vt:lpstr>'12QData'!ExternalData_116</vt:lpstr>
      <vt:lpstr>'12QData'!ExternalData_117</vt:lpstr>
      <vt:lpstr>'12QData'!ExternalData_118</vt:lpstr>
      <vt:lpstr>'12QData'!ExternalData_119</vt:lpstr>
      <vt:lpstr>'12QData'!ExternalData_12</vt:lpstr>
      <vt:lpstr>HData!ExternalData_12</vt:lpstr>
      <vt:lpstr>Statistics!ExternalData_12</vt:lpstr>
      <vt:lpstr>'12QData'!ExternalData_120</vt:lpstr>
      <vt:lpstr>'12QData'!ExternalData_121</vt:lpstr>
      <vt:lpstr>'12QData'!ExternalData_122</vt:lpstr>
      <vt:lpstr>'12QData'!ExternalData_123</vt:lpstr>
      <vt:lpstr>HData!ExternalData_123</vt:lpstr>
      <vt:lpstr>'12QData'!ExternalData_124</vt:lpstr>
      <vt:lpstr>HData!ExternalData_124</vt:lpstr>
      <vt:lpstr>'12QData'!ExternalData_125</vt:lpstr>
      <vt:lpstr>HData!ExternalData_125</vt:lpstr>
      <vt:lpstr>'12QData'!ExternalData_126</vt:lpstr>
      <vt:lpstr>HData!ExternalData_126</vt:lpstr>
      <vt:lpstr>'12QData'!ExternalData_127</vt:lpstr>
      <vt:lpstr>HData!ExternalData_127</vt:lpstr>
      <vt:lpstr>'12QData'!ExternalData_128</vt:lpstr>
      <vt:lpstr>HData!ExternalData_128</vt:lpstr>
      <vt:lpstr>'12QData'!ExternalData_129</vt:lpstr>
      <vt:lpstr>HData!ExternalData_129</vt:lpstr>
      <vt:lpstr>'12QData'!ExternalData_13</vt:lpstr>
      <vt:lpstr>HData!ExternalData_13</vt:lpstr>
      <vt:lpstr>Statistics!ExternalData_13</vt:lpstr>
      <vt:lpstr>'12QData'!ExternalData_130</vt:lpstr>
      <vt:lpstr>HData!ExternalData_130</vt:lpstr>
      <vt:lpstr>'12QData'!ExternalData_131</vt:lpstr>
      <vt:lpstr>HData!ExternalData_131</vt:lpstr>
      <vt:lpstr>'12QData'!ExternalData_132</vt:lpstr>
      <vt:lpstr>HData!ExternalData_132</vt:lpstr>
      <vt:lpstr>'12QData'!ExternalData_133</vt:lpstr>
      <vt:lpstr>HData!ExternalData_133</vt:lpstr>
      <vt:lpstr>'12QData'!ExternalData_134</vt:lpstr>
      <vt:lpstr>HData!ExternalData_134</vt:lpstr>
      <vt:lpstr>'12QData'!ExternalData_135</vt:lpstr>
      <vt:lpstr>HData!ExternalData_135</vt:lpstr>
      <vt:lpstr>'12QData'!ExternalData_136</vt:lpstr>
      <vt:lpstr>HData!ExternalData_136</vt:lpstr>
      <vt:lpstr>'12QData'!ExternalData_137</vt:lpstr>
      <vt:lpstr>HData!ExternalData_137</vt:lpstr>
      <vt:lpstr>'12QData'!ExternalData_138</vt:lpstr>
      <vt:lpstr>HData!ExternalData_138</vt:lpstr>
      <vt:lpstr>'12QData'!ExternalData_139</vt:lpstr>
      <vt:lpstr>HData!ExternalData_139</vt:lpstr>
      <vt:lpstr>'12QData'!ExternalData_14</vt:lpstr>
      <vt:lpstr>HData!ExternalData_14</vt:lpstr>
      <vt:lpstr>Statistics!ExternalData_14</vt:lpstr>
      <vt:lpstr>'12QData'!ExternalData_140</vt:lpstr>
      <vt:lpstr>HData!ExternalData_140</vt:lpstr>
      <vt:lpstr>'12QData'!ExternalData_141</vt:lpstr>
      <vt:lpstr>HData!ExternalData_141</vt:lpstr>
      <vt:lpstr>'12QData'!ExternalData_142</vt:lpstr>
      <vt:lpstr>HData!ExternalData_142</vt:lpstr>
      <vt:lpstr>'12QData'!ExternalData_143</vt:lpstr>
      <vt:lpstr>HData!ExternalData_143</vt:lpstr>
      <vt:lpstr>'12QData'!ExternalData_144</vt:lpstr>
      <vt:lpstr>'12QData'!ExternalData_145</vt:lpstr>
      <vt:lpstr>'12QData'!ExternalData_146</vt:lpstr>
      <vt:lpstr>'12QData'!ExternalData_147</vt:lpstr>
      <vt:lpstr>'12QData'!ExternalData_148</vt:lpstr>
      <vt:lpstr>'12QData'!ExternalData_149</vt:lpstr>
      <vt:lpstr>'12QData'!ExternalData_15</vt:lpstr>
      <vt:lpstr>HData!ExternalData_15</vt:lpstr>
      <vt:lpstr>Statistics!ExternalData_15</vt:lpstr>
      <vt:lpstr>'12QData'!ExternalData_150</vt:lpstr>
      <vt:lpstr>'12QData'!ExternalData_151</vt:lpstr>
      <vt:lpstr>'12QData'!ExternalData_152</vt:lpstr>
      <vt:lpstr>'12QData'!ExternalData_153</vt:lpstr>
      <vt:lpstr>'12QData'!ExternalData_154</vt:lpstr>
      <vt:lpstr>'12QData'!ExternalData_155</vt:lpstr>
      <vt:lpstr>'12QData'!ExternalData_156</vt:lpstr>
      <vt:lpstr>'12QData'!ExternalData_157</vt:lpstr>
      <vt:lpstr>'12QData'!ExternalData_158</vt:lpstr>
      <vt:lpstr>'12QData'!ExternalData_159</vt:lpstr>
      <vt:lpstr>'12QData'!ExternalData_16</vt:lpstr>
      <vt:lpstr>HData!ExternalData_16</vt:lpstr>
      <vt:lpstr>Statistics!ExternalData_16</vt:lpstr>
      <vt:lpstr>'12QData'!ExternalData_160</vt:lpstr>
      <vt:lpstr>'12QData'!ExternalData_161</vt:lpstr>
      <vt:lpstr>'12QData'!ExternalData_162</vt:lpstr>
      <vt:lpstr>'12QData'!ExternalData_163</vt:lpstr>
      <vt:lpstr>'12QData'!ExternalData_164</vt:lpstr>
      <vt:lpstr>'12QData'!ExternalData_165</vt:lpstr>
      <vt:lpstr>'12QData'!ExternalData_166</vt:lpstr>
      <vt:lpstr>'12QData'!ExternalData_167</vt:lpstr>
      <vt:lpstr>'12QData'!ExternalData_168</vt:lpstr>
      <vt:lpstr>'12QData'!ExternalData_169</vt:lpstr>
      <vt:lpstr>'12QData'!ExternalData_17</vt:lpstr>
      <vt:lpstr>HData!ExternalData_17</vt:lpstr>
      <vt:lpstr>Statistics!ExternalData_17</vt:lpstr>
      <vt:lpstr>'12QData'!ExternalData_170</vt:lpstr>
      <vt:lpstr>'12QData'!ExternalData_171</vt:lpstr>
      <vt:lpstr>'12QData'!ExternalData_172</vt:lpstr>
      <vt:lpstr>'12QData'!ExternalData_173</vt:lpstr>
      <vt:lpstr>'12QData'!ExternalData_174</vt:lpstr>
      <vt:lpstr>'12QData'!ExternalData_175</vt:lpstr>
      <vt:lpstr>'12QData'!ExternalData_176</vt:lpstr>
      <vt:lpstr>'12QData'!ExternalData_177</vt:lpstr>
      <vt:lpstr>HData!ExternalData_177</vt:lpstr>
      <vt:lpstr>'12QData'!ExternalData_178</vt:lpstr>
      <vt:lpstr>HData!ExternalData_178</vt:lpstr>
      <vt:lpstr>'12QData'!ExternalData_179</vt:lpstr>
      <vt:lpstr>HData!ExternalData_179</vt:lpstr>
      <vt:lpstr>'12QData'!ExternalData_18</vt:lpstr>
      <vt:lpstr>HData!ExternalData_18</vt:lpstr>
      <vt:lpstr>Statistics!ExternalData_18</vt:lpstr>
      <vt:lpstr>'12QData'!ExternalData_180</vt:lpstr>
      <vt:lpstr>HData!ExternalData_180</vt:lpstr>
      <vt:lpstr>'12QData'!ExternalData_181</vt:lpstr>
      <vt:lpstr>HData!ExternalData_181</vt:lpstr>
      <vt:lpstr>'12QData'!ExternalData_182</vt:lpstr>
      <vt:lpstr>HData!ExternalData_182</vt:lpstr>
      <vt:lpstr>'12QData'!ExternalData_183</vt:lpstr>
      <vt:lpstr>HData!ExternalData_183</vt:lpstr>
      <vt:lpstr>'12QData'!ExternalData_184</vt:lpstr>
      <vt:lpstr>HData!ExternalData_184</vt:lpstr>
      <vt:lpstr>'12QData'!ExternalData_19</vt:lpstr>
      <vt:lpstr>HData!ExternalData_19</vt:lpstr>
      <vt:lpstr>Statistics!ExternalData_19</vt:lpstr>
      <vt:lpstr>'12QData'!ExternalData_2</vt:lpstr>
      <vt:lpstr>HData!ExternalData_2</vt:lpstr>
      <vt:lpstr>QData!ExternalData_2</vt:lpstr>
      <vt:lpstr>Statistics!ExternalData_2</vt:lpstr>
      <vt:lpstr>'12QData'!ExternalData_20</vt:lpstr>
      <vt:lpstr>HData!ExternalData_20</vt:lpstr>
      <vt:lpstr>Statistics!ExternalData_20</vt:lpstr>
      <vt:lpstr>'12QData'!ExternalData_21</vt:lpstr>
      <vt:lpstr>HData!ExternalData_21</vt:lpstr>
      <vt:lpstr>Statistics!ExternalData_21</vt:lpstr>
      <vt:lpstr>'12QData'!ExternalData_22</vt:lpstr>
      <vt:lpstr>HData!ExternalData_22</vt:lpstr>
      <vt:lpstr>Statistics!ExternalData_22</vt:lpstr>
      <vt:lpstr>'12QData'!ExternalData_23</vt:lpstr>
      <vt:lpstr>HData!ExternalData_23</vt:lpstr>
      <vt:lpstr>Statistics!ExternalData_23</vt:lpstr>
      <vt:lpstr>'12QData'!ExternalData_24</vt:lpstr>
      <vt:lpstr>HData!ExternalData_24</vt:lpstr>
      <vt:lpstr>Statistics!ExternalData_24</vt:lpstr>
      <vt:lpstr>'12QData'!ExternalData_25</vt:lpstr>
      <vt:lpstr>HData!ExternalData_25</vt:lpstr>
      <vt:lpstr>Statistics!ExternalData_25</vt:lpstr>
      <vt:lpstr>'12QData'!ExternalData_26</vt:lpstr>
      <vt:lpstr>HData!ExternalData_26</vt:lpstr>
      <vt:lpstr>Statistics!ExternalData_26</vt:lpstr>
      <vt:lpstr>'12QData'!ExternalData_27</vt:lpstr>
      <vt:lpstr>HData!ExternalData_27</vt:lpstr>
      <vt:lpstr>Statistics!ExternalData_27</vt:lpstr>
      <vt:lpstr>'12QData'!ExternalData_28</vt:lpstr>
      <vt:lpstr>HData!ExternalData_28</vt:lpstr>
      <vt:lpstr>Statistics!ExternalData_28</vt:lpstr>
      <vt:lpstr>'12QData'!ExternalData_29</vt:lpstr>
      <vt:lpstr>HData!ExternalData_29</vt:lpstr>
      <vt:lpstr>Statistics!ExternalData_29</vt:lpstr>
      <vt:lpstr>'12QData'!ExternalData_3</vt:lpstr>
      <vt:lpstr>HData!ExternalData_3</vt:lpstr>
      <vt:lpstr>QData!ExternalData_3</vt:lpstr>
      <vt:lpstr>Statistics!ExternalData_3</vt:lpstr>
      <vt:lpstr>'12QData'!ExternalData_30</vt:lpstr>
      <vt:lpstr>HData!ExternalData_30</vt:lpstr>
      <vt:lpstr>Statistics!ExternalData_30</vt:lpstr>
      <vt:lpstr>'12QData'!ExternalData_31</vt:lpstr>
      <vt:lpstr>HData!ExternalData_31</vt:lpstr>
      <vt:lpstr>Statistics!ExternalData_31</vt:lpstr>
      <vt:lpstr>'12QData'!ExternalData_32</vt:lpstr>
      <vt:lpstr>HData!ExternalData_32</vt:lpstr>
      <vt:lpstr>Statistics!ExternalData_32</vt:lpstr>
      <vt:lpstr>'12QData'!ExternalData_33</vt:lpstr>
      <vt:lpstr>HData!ExternalData_33</vt:lpstr>
      <vt:lpstr>Statistics!ExternalData_33</vt:lpstr>
      <vt:lpstr>'12QData'!ExternalData_34</vt:lpstr>
      <vt:lpstr>HData!ExternalData_34</vt:lpstr>
      <vt:lpstr>Statistics!ExternalData_34</vt:lpstr>
      <vt:lpstr>'12QData'!ExternalData_35</vt:lpstr>
      <vt:lpstr>HData!ExternalData_35</vt:lpstr>
      <vt:lpstr>Statistics!ExternalData_35</vt:lpstr>
      <vt:lpstr>'12QData'!ExternalData_36</vt:lpstr>
      <vt:lpstr>HData!ExternalData_36</vt:lpstr>
      <vt:lpstr>Statistics!ExternalData_36</vt:lpstr>
      <vt:lpstr>'12QData'!ExternalData_37</vt:lpstr>
      <vt:lpstr>HData!ExternalData_37</vt:lpstr>
      <vt:lpstr>Statistics!ExternalData_37</vt:lpstr>
      <vt:lpstr>'12QData'!ExternalData_38</vt:lpstr>
      <vt:lpstr>HData!ExternalData_38</vt:lpstr>
      <vt:lpstr>Statistics!ExternalData_38</vt:lpstr>
      <vt:lpstr>'12QData'!ExternalData_39</vt:lpstr>
      <vt:lpstr>HData!ExternalData_39</vt:lpstr>
      <vt:lpstr>Statistics!ExternalData_39</vt:lpstr>
      <vt:lpstr>'12QData'!ExternalData_4</vt:lpstr>
      <vt:lpstr>HData!ExternalData_4</vt:lpstr>
      <vt:lpstr>QData!ExternalData_4</vt:lpstr>
      <vt:lpstr>Statistics!ExternalData_4</vt:lpstr>
      <vt:lpstr>'12QData'!ExternalData_40</vt:lpstr>
      <vt:lpstr>HData!ExternalData_40</vt:lpstr>
      <vt:lpstr>Statistics!ExternalData_40</vt:lpstr>
      <vt:lpstr>'12QData'!ExternalData_41</vt:lpstr>
      <vt:lpstr>HData!ExternalData_41</vt:lpstr>
      <vt:lpstr>Statistics!ExternalData_41</vt:lpstr>
      <vt:lpstr>'12QData'!ExternalData_42</vt:lpstr>
      <vt:lpstr>HData!ExternalData_42</vt:lpstr>
      <vt:lpstr>Statistics!ExternalData_42</vt:lpstr>
      <vt:lpstr>'12QData'!ExternalData_43</vt:lpstr>
      <vt:lpstr>HData!ExternalData_43</vt:lpstr>
      <vt:lpstr>Statistics!ExternalData_43</vt:lpstr>
      <vt:lpstr>'12QData'!ExternalData_44</vt:lpstr>
      <vt:lpstr>HData!ExternalData_44</vt:lpstr>
      <vt:lpstr>Statistics!ExternalData_44</vt:lpstr>
      <vt:lpstr>'12QData'!ExternalData_45</vt:lpstr>
      <vt:lpstr>HData!ExternalData_45</vt:lpstr>
      <vt:lpstr>Statistics!ExternalData_45</vt:lpstr>
      <vt:lpstr>'12QData'!ExternalData_46</vt:lpstr>
      <vt:lpstr>HData!ExternalData_46</vt:lpstr>
      <vt:lpstr>Statistics!ExternalData_46</vt:lpstr>
      <vt:lpstr>'12QData'!ExternalData_47</vt:lpstr>
      <vt:lpstr>HData!ExternalData_47</vt:lpstr>
      <vt:lpstr>Statistics!ExternalData_47</vt:lpstr>
      <vt:lpstr>'12QData'!ExternalData_48</vt:lpstr>
      <vt:lpstr>HData!ExternalData_48</vt:lpstr>
      <vt:lpstr>Statistics!ExternalData_48</vt:lpstr>
      <vt:lpstr>'12QData'!ExternalData_49</vt:lpstr>
      <vt:lpstr>HData!ExternalData_49</vt:lpstr>
      <vt:lpstr>Statistics!ExternalData_49</vt:lpstr>
      <vt:lpstr>'12QData'!ExternalData_5</vt:lpstr>
      <vt:lpstr>HData!ExternalData_5</vt:lpstr>
      <vt:lpstr>Statistics!ExternalData_5</vt:lpstr>
      <vt:lpstr>'12QData'!ExternalData_50</vt:lpstr>
      <vt:lpstr>HData!ExternalData_50</vt:lpstr>
      <vt:lpstr>'12QData'!ExternalData_51</vt:lpstr>
      <vt:lpstr>HData!ExternalData_51</vt:lpstr>
      <vt:lpstr>'12QData'!ExternalData_52</vt:lpstr>
      <vt:lpstr>HData!ExternalData_52</vt:lpstr>
      <vt:lpstr>'12QData'!ExternalData_53</vt:lpstr>
      <vt:lpstr>HData!ExternalData_53</vt:lpstr>
      <vt:lpstr>'12QData'!ExternalData_54</vt:lpstr>
      <vt:lpstr>HData!ExternalData_54</vt:lpstr>
      <vt:lpstr>'12QData'!ExternalData_55</vt:lpstr>
      <vt:lpstr>HData!ExternalData_55</vt:lpstr>
      <vt:lpstr>'12QData'!ExternalData_56</vt:lpstr>
      <vt:lpstr>HData!ExternalData_56</vt:lpstr>
      <vt:lpstr>'12QData'!ExternalData_57</vt:lpstr>
      <vt:lpstr>HData!ExternalData_57</vt:lpstr>
      <vt:lpstr>'12QData'!ExternalData_58</vt:lpstr>
      <vt:lpstr>HData!ExternalData_58</vt:lpstr>
      <vt:lpstr>'12QData'!ExternalData_59</vt:lpstr>
      <vt:lpstr>HData!ExternalData_59</vt:lpstr>
      <vt:lpstr>'12QData'!ExternalData_6</vt:lpstr>
      <vt:lpstr>HData!ExternalData_6</vt:lpstr>
      <vt:lpstr>Statistics!ExternalData_6</vt:lpstr>
      <vt:lpstr>'12QData'!ExternalData_60</vt:lpstr>
      <vt:lpstr>HData!ExternalData_60</vt:lpstr>
      <vt:lpstr>'12QData'!ExternalData_61</vt:lpstr>
      <vt:lpstr>HData!ExternalData_61</vt:lpstr>
      <vt:lpstr>'12QData'!ExternalData_62</vt:lpstr>
      <vt:lpstr>HData!ExternalData_62</vt:lpstr>
      <vt:lpstr>'12QData'!ExternalData_63</vt:lpstr>
      <vt:lpstr>HData!ExternalData_63</vt:lpstr>
      <vt:lpstr>'12QData'!ExternalData_64</vt:lpstr>
      <vt:lpstr>HData!ExternalData_64</vt:lpstr>
      <vt:lpstr>'12QData'!ExternalData_65</vt:lpstr>
      <vt:lpstr>HData!ExternalData_65</vt:lpstr>
      <vt:lpstr>'12QData'!ExternalData_66</vt:lpstr>
      <vt:lpstr>HData!ExternalData_66</vt:lpstr>
      <vt:lpstr>'12QData'!ExternalData_67</vt:lpstr>
      <vt:lpstr>HData!ExternalData_67</vt:lpstr>
      <vt:lpstr>'12QData'!ExternalData_68</vt:lpstr>
      <vt:lpstr>HData!ExternalData_68</vt:lpstr>
      <vt:lpstr>'12QData'!ExternalData_69</vt:lpstr>
      <vt:lpstr>HData!ExternalData_69</vt:lpstr>
      <vt:lpstr>'12QData'!ExternalData_7</vt:lpstr>
      <vt:lpstr>HData!ExternalData_7</vt:lpstr>
      <vt:lpstr>Statistics!ExternalData_7</vt:lpstr>
      <vt:lpstr>'12QData'!ExternalData_70</vt:lpstr>
      <vt:lpstr>HData!ExternalData_70</vt:lpstr>
      <vt:lpstr>'12QData'!ExternalData_71</vt:lpstr>
      <vt:lpstr>HData!ExternalData_71</vt:lpstr>
      <vt:lpstr>'12QData'!ExternalData_72</vt:lpstr>
      <vt:lpstr>HData!ExternalData_72</vt:lpstr>
      <vt:lpstr>'12QData'!ExternalData_73</vt:lpstr>
      <vt:lpstr>HData!ExternalData_73</vt:lpstr>
      <vt:lpstr>'12QData'!ExternalData_74</vt:lpstr>
      <vt:lpstr>HData!ExternalData_74</vt:lpstr>
      <vt:lpstr>'12QData'!ExternalData_75</vt:lpstr>
      <vt:lpstr>HData!ExternalData_75</vt:lpstr>
      <vt:lpstr>'12QData'!ExternalData_76</vt:lpstr>
      <vt:lpstr>HData!ExternalData_76</vt:lpstr>
      <vt:lpstr>'12QData'!ExternalData_77</vt:lpstr>
      <vt:lpstr>HData!ExternalData_77</vt:lpstr>
      <vt:lpstr>'12QData'!ExternalData_78</vt:lpstr>
      <vt:lpstr>HData!ExternalData_78</vt:lpstr>
      <vt:lpstr>'12QData'!ExternalData_79</vt:lpstr>
      <vt:lpstr>HData!ExternalData_79</vt:lpstr>
      <vt:lpstr>'12QData'!ExternalData_8</vt:lpstr>
      <vt:lpstr>HData!ExternalData_8</vt:lpstr>
      <vt:lpstr>Statistics!ExternalData_8</vt:lpstr>
      <vt:lpstr>'12QData'!ExternalData_80</vt:lpstr>
      <vt:lpstr>HData!ExternalData_80</vt:lpstr>
      <vt:lpstr>'12QData'!ExternalData_81</vt:lpstr>
      <vt:lpstr>HData!ExternalData_81</vt:lpstr>
      <vt:lpstr>'12QData'!ExternalData_82</vt:lpstr>
      <vt:lpstr>HData!ExternalData_82</vt:lpstr>
      <vt:lpstr>'12QData'!ExternalData_83</vt:lpstr>
      <vt:lpstr>HData!ExternalData_83</vt:lpstr>
      <vt:lpstr>'12QData'!ExternalData_84</vt:lpstr>
      <vt:lpstr>HData!ExternalData_84</vt:lpstr>
      <vt:lpstr>'12QData'!ExternalData_85</vt:lpstr>
      <vt:lpstr>HData!ExternalData_85</vt:lpstr>
      <vt:lpstr>'12QData'!ExternalData_86</vt:lpstr>
      <vt:lpstr>HData!ExternalData_86</vt:lpstr>
      <vt:lpstr>'12QData'!ExternalData_87</vt:lpstr>
      <vt:lpstr>HData!ExternalData_87</vt:lpstr>
      <vt:lpstr>'12QData'!ExternalData_88</vt:lpstr>
      <vt:lpstr>HData!ExternalData_88</vt:lpstr>
      <vt:lpstr>'12QData'!ExternalData_89</vt:lpstr>
      <vt:lpstr>HData!ExternalData_89</vt:lpstr>
      <vt:lpstr>'12QData'!ExternalData_9</vt:lpstr>
      <vt:lpstr>HData!ExternalData_9</vt:lpstr>
      <vt:lpstr>Statistics!ExternalData_9</vt:lpstr>
      <vt:lpstr>'12QData'!ExternalData_90</vt:lpstr>
      <vt:lpstr>HData!ExternalData_90</vt:lpstr>
      <vt:lpstr>'12QData'!ExternalData_91</vt:lpstr>
      <vt:lpstr>HData!ExternalData_91</vt:lpstr>
      <vt:lpstr>'12QData'!ExternalData_92</vt:lpstr>
      <vt:lpstr>HData!ExternalData_92</vt:lpstr>
      <vt:lpstr>'12QData'!ExternalData_93</vt:lpstr>
      <vt:lpstr>HData!ExternalData_93</vt:lpstr>
      <vt:lpstr>'12QData'!ExternalData_94</vt:lpstr>
      <vt:lpstr>HData!ExternalData_94</vt:lpstr>
      <vt:lpstr>'12QData'!ExternalData_95</vt:lpstr>
      <vt:lpstr>HData!ExternalData_95</vt:lpstr>
      <vt:lpstr>'12QData'!ExternalData_96</vt:lpstr>
      <vt:lpstr>HData!ExternalData_96</vt:lpstr>
      <vt:lpstr>'12QData'!ExternalData_97</vt:lpstr>
      <vt:lpstr>HData!ExternalData_97</vt:lpstr>
      <vt:lpstr>'12QData'!ExternalData_98</vt:lpstr>
      <vt:lpstr>HData!ExternalData_98</vt:lpstr>
      <vt:lpstr>'12QData'!ExternalData_99</vt:lpstr>
      <vt:lpstr>HData!ExternalData_99</vt:lpstr>
      <vt:lpstr>QData!Financials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Thomson Corvin</dc:creator>
  <cp:lastModifiedBy>Thomson Corvin</cp:lastModifiedBy>
  <dcterms:created xsi:type="dcterms:W3CDTF">2025-03-04T03:32:34Z</dcterms:created>
  <dcterms:modified xsi:type="dcterms:W3CDTF">2025-10-27T05:08:25Z</dcterms:modified>
</cp:coreProperties>
</file>